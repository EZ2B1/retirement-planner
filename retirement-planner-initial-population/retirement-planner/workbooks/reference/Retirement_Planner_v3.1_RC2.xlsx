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46ed5e238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3002daaf976412c"/>
    <x:sheet xmlns:r="http://schemas.openxmlformats.org/officeDocument/2006/relationships" name="Assumptions" sheetId="2" r:id="R6bc6d688eb1c4f57"/>
    <x:sheet xmlns:r="http://schemas.openxmlformats.org/officeDocument/2006/relationships" name="2026 Tax Tables" sheetId="3" r:id="Rffe4478902a3480e"/>
    <x:sheet xmlns:r="http://schemas.openxmlformats.org/officeDocument/2006/relationships" name="IRMAA" sheetId="4" r:id="R0ae6a190d249497a"/>
    <x:sheet xmlns:r="http://schemas.openxmlformats.org/officeDocument/2006/relationships" name="RMD Factors" sheetId="5" r:id="R87a40f8800e84506"/>
    <x:sheet xmlns:r="http://schemas.openxmlformats.org/officeDocument/2006/relationships" name="Projection" sheetId="6" r:id="Rbf25515b94a3403e"/>
    <x:sheet xmlns:r="http://schemas.openxmlformats.org/officeDocument/2006/relationships" name="Scenario Comparison" sheetId="7" r:id="Re01ed1e8c14541c3"/>
    <x:sheet xmlns:r="http://schemas.openxmlformats.org/officeDocument/2006/relationships" name="Roth Optimizer" sheetId="8" r:id="R0d882f596fa4405c"/>
    <x:sheet xmlns:r="http://schemas.openxmlformats.org/officeDocument/2006/relationships" name="Audit" sheetId="9" r:id="R046f5a293eb340da"/>
    <x:sheet xmlns:r="http://schemas.openxmlformats.org/officeDocument/2006/relationships" name="Documentation" sheetId="10" r:id="Rbc8b8bb957104c32"/>
    <x:sheet xmlns:r="http://schemas.openxmlformats.org/officeDocument/2006/relationships" name="Release Notes" sheetId="11" r:id="R006251488cb74522"/>
    <x:sheet xmlns:r="http://schemas.openxmlformats.org/officeDocument/2006/relationships" name="ACA Assumptions" sheetId="12" r:id="Ra38c31631f1049bc"/>
    <x:sheet xmlns:r="http://schemas.openxmlformats.org/officeDocument/2006/relationships" name="ACA Optimization" sheetId="13" r:id="R4dd1d1e54e74448c"/>
    <x:sheet xmlns:r="http://schemas.openxmlformats.org/officeDocument/2006/relationships" name="Estate &amp; Legacy" sheetId="14" r:id="R58bc5345b1674486"/>
    <x:sheet xmlns:r="http://schemas.openxmlformats.org/officeDocument/2006/relationships" name="Charitable &amp; QCD" sheetId="15" r:id="R740bbb20e57e42ae"/>
    <x:sheet xmlns:r="http://schemas.openxmlformats.org/officeDocument/2006/relationships" name="Tax Law Configuration" sheetId="16" r:id="R9b5402fad7b647a8"/>
    <x:sheet xmlns:r="http://schemas.openxmlformats.org/officeDocument/2006/relationships" name="Master Recommendations" sheetId="17" r:id="Re9ed3b45ecb748bf"/>
    <x:sheet xmlns:r="http://schemas.openxmlformats.org/officeDocument/2006/relationships" name="Advisor Report" sheetId="18" r:id="R717cf993db6a4e1c"/>
    <x:sheet xmlns:r="http://schemas.openxmlformats.org/officeDocument/2006/relationships" name="State Tax" sheetId="19" r:id="R66a2d80d4a8145b2"/>
    <x:sheet xmlns:r="http://schemas.openxmlformats.org/officeDocument/2006/relationships" name="Rule Engine" sheetId="20" r:id="Rddcfecc6f6954234"/>
    <x:sheet xmlns:r="http://schemas.openxmlformats.org/officeDocument/2006/relationships" name="Scenario Versions" sheetId="21" r:id="R6d1f08935a354781"/>
    <x:sheet xmlns:r="http://schemas.openxmlformats.org/officeDocument/2006/relationships" name="IRA Withdrawal Strategy" sheetId="22" r:id="R7100bde0faab4a65"/>
    <x:sheet xmlns:r="http://schemas.openxmlformats.org/officeDocument/2006/relationships" name="Conversion Tax Funding" sheetId="23" r:id="R48bc186ca367471e"/>
    <x:sheet xmlns:r="http://schemas.openxmlformats.org/officeDocument/2006/relationships" name="Tax Strategy Optimizer" sheetId="24" r:id="Rf62e32fd2e374394"/>
    <x:sheet xmlns:r="http://schemas.openxmlformats.org/officeDocument/2006/relationships" name="Lifetime Cash Flow" sheetId="25" r:id="Re33d7388f42e4d2a"/>
    <x:sheet xmlns:r="http://schemas.openxmlformats.org/officeDocument/2006/relationships" name="Monte Carlo Risk" sheetId="26" r:id="R9b5b2df7868f4cd6"/>
    <x:sheet xmlns:r="http://schemas.openxmlformats.org/officeDocument/2006/relationships" name="Sensitivity Analysis" sheetId="27" r:id="R57c36d9cad294ece"/>
    <x:sheet xmlns:r="http://schemas.openxmlformats.org/officeDocument/2006/relationships" name="Planning Opportunities" sheetId="28" r:id="Rf7616fe078414692"/>
    <x:sheet xmlns:r="http://schemas.openxmlformats.org/officeDocument/2006/relationships" name="RC1 Summary" sheetId="29" r:id="Rcf7c67f2af7b4cbd"/>
    <x:sheet xmlns:r="http://schemas.openxmlformats.org/officeDocument/2006/relationships" name="Validation Dashboard" sheetId="30" r:id="Rd5f7e8ca076c4a11"/>
    <x:sheet xmlns:r="http://schemas.openxmlformats.org/officeDocument/2006/relationships" name="Tax Law Repository" sheetId="31" r:id="R5c661aad27a3453e"/>
    <x:sheet xmlns:r="http://schemas.openxmlformats.org/officeDocument/2006/relationships" name="Advanced RMD Planner" sheetId="32" r:id="Rb4e1fce901a44fa0"/>
    <x:sheet xmlns:r="http://schemas.openxmlformats.org/officeDocument/2006/relationships" name="Charitable Planning Suite" sheetId="33" r:id="Rcf7ebfe3e34d45a9"/>
    <x:sheet xmlns:r="http://schemas.openxmlformats.org/officeDocument/2006/relationships" name="Estate Legacy Optimizer" sheetId="34" r:id="R83ba6d75cf2842a1"/>
    <x:sheet xmlns:r="http://schemas.openxmlformats.org/officeDocument/2006/relationships" name="Healthcare Planning Suite" sheetId="35" r:id="Ra8802ffe37374fb2"/>
    <x:sheet xmlns:r="http://schemas.openxmlformats.org/officeDocument/2006/relationships" name="Advanced Scenario Dashboard" sheetId="36" r:id="Reab9bc1b776a40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_);[Red]($#,##0);-"/>
    <x:numFmt numFmtId="201" formatCode="0.0%"/>
    <x:numFmt numFmtId="202" formatCode="0.0x"/>
    <x:numFmt numFmtId="203" formatCode="0"/>
    <x:numFmt numFmtId="204" formatCode="#,##0_);[Red](#,##0);-"/>
    <x:numFmt numFmtId="205" formatCode="#,##0.00_);[Red](#,##0.00);-"/>
    <x:numFmt numFmtId="206" formatCode="0.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name val="Carlito"/>
    </x:font>
    <x:font>
      <x:b/>
      <x:sz val="11"/>
      <x:color rgb="FF0000FF"/>
      <x:name val="Carlito"/>
    </x:font>
  </x:fonts>
  <x:fills count="3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00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00"/>
      </x:patternFill>
    </x:fill>
  </x:fills>
  <x:borders count="2">
    <x:border/>
    <x:border/>
  </x:borders>
  <x:cellStyleXfs count="1">
    <x:xf numFmtId="0" fontId="0" fillId="0" borderId="0"/>
  </x:cellStyleXfs>
  <x:cellXfs count="2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200" fontId="5" fillId="5" borderId="0" xfId="0" applyNumberFormat="1" applyFont="1" applyFill="1" applyBorder="1"/>
    <x:xf numFmtId="200" fontId="5" fillId="0" borderId="0" xfId="0" applyNumberFormat="1" applyFont="1" applyFill="1" applyBorder="1"/>
    <x:xf numFmtId="200" fontId="5" fillId="5" borderId="1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center"/>
    </x:xf>
    <x:xf numFmtId="0" fontId="6" fillId="10" borderId="0" xfId="0" applyNumberFormat="1" applyFont="1" applyFill="1" applyBorder="1" applyAlignment="1">
      <x:alignment horizontal="center" vertical="center"/>
    </x:xf>
    <x:xf numFmtId="203" fontId="5" fillId="0" borderId="0" xfId="0" applyNumberFormat="1" applyFont="1" applyFill="1" applyBorder="1"/>
    <x:xf numFmtId="200" fontId="5" fillId="11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203" fontId="5" fillId="0" borderId="0" xfId="0" applyNumberFormat="1" applyFont="1" applyFill="1" applyBorder="1" applyAlignment="1">
      <x:alignment wrapText="1"/>
    </x:xf>
    <x:xf numFmtId="200" fontId="5" fillId="11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 wrapText="1"/>
    </x:xf>
    <x:xf numFmtId="200" fontId="5" fillId="5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horizontal="center" wrapText="1"/>
    </x:xf>
    <x:xf numFmtId="0" fontId="4" fillId="1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6" fillId="17" borderId="0" xfId="0" applyNumberFormat="1" applyFont="1" applyFill="1" applyBorder="1" applyAlignment="1">
      <x:alignment horizontal="center"/>
    </x:xf>
    <x:xf numFmtId="0" fontId="6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6" fillId="17" borderId="0" xfId="0" applyNumberFormat="1" applyFont="1" applyFill="1" applyBorder="1" applyAlignment="1">
      <x:alignment horizontal="center" vertical="center" wrapText="1"/>
    </x:xf>
    <x:xf numFmtId="0" fontId="4" fillId="18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vertical="center"/>
    </x:xf>
    <x:xf numFmtId="0" fontId="1" fillId="19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6" fillId="20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wrapText="1"/>
    </x:xf>
    <x:xf numFmtId="200" fontId="7" fillId="4" borderId="0" xfId="0" applyNumberFormat="1" applyFont="1" applyFill="1" applyBorder="1" applyAlignment="1">
      <x:alignment wrapText="1"/>
    </x:xf>
    <x:xf numFmtId="0" fontId="5" fillId="21" borderId="0" xfId="0" applyNumberFormat="1" applyFont="1" applyFill="1" applyBorder="1" applyAlignment="1">
      <x:alignment wrapText="1"/>
    </x:xf>
    <x:xf numFmtId="201" fontId="5" fillId="21" borderId="0" xfId="0" applyNumberFormat="1" applyFont="1" applyFill="1" applyBorder="1" applyAlignment="1">
      <x:alignment wrapText="1"/>
    </x:xf>
    <x:xf numFmtId="200" fontId="5" fillId="21" borderId="0" xfId="0" applyNumberFormat="1" applyFont="1" applyFill="1" applyBorder="1" applyAlignment="1">
      <x:alignment wrapText="1"/>
    </x:xf>
    <x:xf numFmtId="200" fontId="7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wrapText="1"/>
    </x:xf>
    <x:xf numFmtId="200" fontId="0" fillId="22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4" fillId="22" borderId="0" xfId="0" applyNumberFormat="1" applyFont="1" applyFill="1" applyBorder="1" applyAlignment="1">
      <x:alignment wrapText="1"/>
    </x:xf>
    <x:xf numFmtId="200" fontId="4" fillId="22" borderId="0" xfId="0" applyNumberFormat="1" applyFont="1" applyFill="1" applyBorder="1" applyAlignment="1">
      <x:alignment wrapText="1"/>
    </x:xf>
    <x:xf numFmtId="0" fontId="4" fillId="22" borderId="0" xfId="0" applyNumberFormat="1" applyFont="1" applyFill="1" applyBorder="1"/>
    <x:xf numFmtId="0" fontId="0" fillId="20" borderId="0" xfId="0" applyNumberFormat="1" applyFont="1" applyFill="1" applyBorder="1" applyAlignment="1">
      <x:alignment wrapText="1"/>
    </x:xf>
    <x:xf numFmtId="200" fontId="0" fillId="2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6" fillId="20" borderId="0" xfId="0" applyNumberFormat="1" applyFont="1" applyFill="1" applyBorder="1" applyAlignment="1">
      <x:alignment wrapText="1"/>
    </x:xf>
    <x:xf numFmtId="200" fontId="6" fillId="20" borderId="0" xfId="0" applyNumberFormat="1" applyFont="1" applyFill="1" applyBorder="1" applyAlignment="1">
      <x:alignment wrapText="1"/>
    </x:xf>
    <x:xf numFmtId="0" fontId="6" fillId="20" borderId="0" xfId="0" applyNumberFormat="1" applyFont="1" applyFill="1" applyBorder="1"/>
    <x:xf numFmtId="0" fontId="6" fillId="20" borderId="0" xfId="0" applyNumberFormat="1" applyFont="1" applyFill="1" applyBorder="1" applyAlignment="1">
      <x:alignment horizontal="center" wrapText="1"/>
    </x:xf>
    <x:xf numFmtId="200" fontId="6" fillId="20" borderId="0" xfId="0" applyNumberFormat="1" applyFont="1" applyFill="1" applyBorder="1" applyAlignment="1">
      <x:alignment horizontal="center" wrapText="1"/>
    </x:xf>
    <x:xf numFmtId="0" fontId="6" fillId="20" borderId="0" xfId="0" applyNumberFormat="1" applyFont="1" applyFill="1" applyBorder="1" applyAlignment="1">
      <x:alignment horizontal="center"/>
    </x:xf>
    <x:xf numFmtId="200" fontId="6" fillId="20" borderId="0" xfId="0" applyNumberFormat="1" applyFont="1" applyFill="1" applyBorder="1" applyAlignment="1">
      <x:alignment horizontal="center" vertical="center" wrapText="1"/>
    </x:xf>
    <x:xf numFmtId="0" fontId="6" fillId="20" borderId="0" xfId="0" applyNumberFormat="1" applyFont="1" applyFill="1" applyBorder="1" applyAlignment="1">
      <x:alignment horizontal="center" vertical="center"/>
    </x:xf>
    <x:xf numFmtId="0" fontId="2" fillId="20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wrapText="1"/>
    </x:xf>
    <x:xf numFmtId="201" fontId="5" fillId="5" borderId="0" xfId="0" applyNumberFormat="1" applyFont="1" applyFill="1" applyBorder="1" applyAlignment="1">
      <x:alignment wrapText="1"/>
    </x:xf>
    <x:xf numFmtId="200" fontId="7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0" fontId="6" fillId="3" borderId="0" xfId="0" applyNumberFormat="1" applyFont="1" applyFill="1" applyBorder="1" applyAlignment="1">
      <x:alignment wrapText="1"/>
    </x:xf>
    <x:xf numFmtId="200" fontId="6" fillId="3" borderId="0" xfId="0" applyNumberFormat="1" applyFont="1" applyFill="1" applyBorder="1" applyAlignment="1">
      <x:alignment horizontal="center" wrapText="1"/>
    </x:xf>
    <x:xf numFmtId="200" fontId="6" fillId="3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0" fillId="24" borderId="0" xfId="0" applyNumberFormat="1" applyFont="1" applyFill="1" applyBorder="1"/>
    <x:xf numFmtId="0" fontId="6" fillId="24" borderId="0" xfId="0" applyNumberFormat="1" applyFont="1" applyFill="1" applyBorder="1"/>
    <x:xf numFmtId="0" fontId="6" fillId="24" borderId="0" xfId="0" applyNumberFormat="1" applyFont="1" applyFill="1" applyBorder="1" applyAlignment="1">
      <x:alignment horizontal="center"/>
    </x:xf>
    <x:xf numFmtId="0" fontId="6" fillId="24" borderId="0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/>
    <x:xf numFmtId="0" fontId="4" fillId="25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6" fillId="24" borderId="0" xfId="0" applyNumberFormat="1" applyFont="1" applyFill="1" applyBorder="1" applyAlignment="1">
      <x:alignment horizontal="center" vertical="center" wrapText="1"/>
    </x:xf>
    <x:xf numFmtId="0" fontId="4" fillId="25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2" fillId="26" borderId="0" xfId="0" applyNumberFormat="1" applyFont="1" applyFill="1" applyBorder="1" applyAlignment="1">
      <x:alignment horizontal="center" vertical="center"/>
    </x:xf>
    <x:xf numFmtId="0" fontId="6" fillId="26" borderId="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/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0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0" fontId="0" fillId="28" borderId="0" xfId="0" applyNumberFormat="1" applyFont="1" applyFill="1" applyBorder="1"/>
    <x:xf numFmtId="0" fontId="4" fillId="28" borderId="0" xfId="0" applyNumberFormat="1" applyFont="1" applyFill="1" applyBorder="1"/>
    <x:xf numFmtId="205" fontId="0" fillId="0" borderId="0" xfId="0" applyNumberFormat="1" applyFont="1" applyFill="1" applyBorder="1"/>
    <x:xf numFmtId="0" fontId="1" fillId="27" borderId="0" xfId="0" applyNumberFormat="1" applyFont="1" applyFill="1" applyBorder="1" applyAlignment="1">
      <x:alignment vertical="center" wrapText="1"/>
    </x:xf>
    <x:xf numFmtId="0" fontId="2" fillId="26" borderId="0" xfId="0" applyNumberFormat="1" applyFont="1" applyFill="1" applyBorder="1" applyAlignment="1">
      <x:alignment horizontal="center" vertical="center" wrapText="1"/>
    </x:xf>
    <x:xf numFmtId="0" fontId="4" fillId="28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0" fontId="2" fillId="26" borderId="0" xfId="0" applyNumberFormat="1" applyFont="1" applyFill="1" applyBorder="1" applyAlignment="1">
      <x:alignment wrapText="1"/>
    </x:xf>
    <x:xf numFmtId="0" fontId="2" fillId="26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29" borderId="0" xfId="0" applyNumberFormat="1" applyFont="1" applyFill="1" applyBorder="1" applyAlignment="1">
      <x:alignment horizontal="center" vertical="center"/>
    </x:xf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0" fillId="31" borderId="0" xfId="0" applyNumberFormat="1" applyFont="1" applyFill="1" applyBorder="1"/>
    <x:xf numFmtId="0" fontId="6" fillId="31" borderId="0" xfId="0" applyNumberFormat="1" applyFont="1" applyFill="1" applyBorder="1"/>
    <x:xf numFmtId="0" fontId="6" fillId="31" borderId="0" xfId="0" applyNumberFormat="1" applyFont="1" applyFill="1" applyBorder="1" applyAlignment="1">
      <x:alignment horizontal="center"/>
    </x:xf>
    <x:xf numFmtId="0" fontId="6" fillId="31" borderId="0" xfId="0" applyNumberFormat="1" applyFont="1" applyFill="1" applyBorder="1" applyAlignment="1">
      <x:alignment horizontal="center" vertical="center"/>
    </x:xf>
    <x:xf numFmtId="0" fontId="0" fillId="32" borderId="0" xfId="0" applyNumberFormat="1" applyFont="1" applyFill="1" applyBorder="1"/>
    <x:xf numFmtId="0" fontId="4" fillId="32" borderId="0" xfId="0" applyNumberFormat="1" applyFont="1" applyFill="1" applyBorder="1"/>
    <x:xf numFmtId="0" fontId="1" fillId="30" borderId="0" xfId="0" applyNumberFormat="1" applyFont="1" applyFill="1" applyBorder="1" applyAlignment="1">
      <x:alignment wrapText="1"/>
    </x:xf>
    <x:xf numFmtId="0" fontId="6" fillId="31" borderId="0" xfId="0" applyNumberFormat="1" applyFont="1" applyFill="1" applyBorder="1" applyAlignment="1">
      <x:alignment horizontal="center" vertical="center" wrapText="1"/>
    </x:xf>
    <x:xf numFmtId="0" fontId="4" fillId="32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0" fontId="0" fillId="33" borderId="0" xfId="0" applyNumberFormat="1" applyFont="1" applyFill="1" applyBorder="1"/>
    <x:xf numFmtId="206" fontId="0" fillId="0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 applyAlignment="1">
      <x:alignment wrapText="1"/>
    </x:xf>
  </x:cellXfs>
  <x:cellStyles count="1">
    <x:cellStyle name="Normal" xfId="0"/>
  </x:cellStyles>
  <x:dxfs count="22"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ECACA"/>
        </x:patternFill>
      </x:fill>
    </x:dxf>
    <x:dxf>
      <x:font>
        <x:color rgb="FFB91C1C"/>
      </x:font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ont>
        <x:color rgb="FFB91C1C"/>
      </x:font>
      <x:fill>
        <x:patternFill>
          <x:bgColor rgb="FFFECAC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9f98aa80de47b8" /><Relationship Type="http://schemas.openxmlformats.org/officeDocument/2006/relationships/theme" Target="/xl/theme/theme1.xml" Id="R58716417ae4a4315" /><Relationship Type="http://schemas.microsoft.com/office/2022/11/relationships/FeaturePropertyBag" Target="/xl/featurePropertyBag/featurePropertyBag.xml" Id="R5c83022d370f4f18" /><Relationship Type="http://schemas.openxmlformats.org/officeDocument/2006/relationships/sharedStrings" Target="/xl/sharedStrings.xml" Id="R947ab14a5b9c48dd" /><Relationship Type="http://schemas.openxmlformats.org/officeDocument/2006/relationships/worksheet" Target="/xl/worksheets/sheet1.xml" Id="R83002daaf976412c" /><Relationship Type="http://schemas.openxmlformats.org/officeDocument/2006/relationships/worksheet" Target="/xl/worksheets/sheet2.xml" Id="R6bc6d688eb1c4f57" /><Relationship Type="http://schemas.openxmlformats.org/officeDocument/2006/relationships/worksheet" Target="/xl/worksheets/sheet3.xml" Id="Rffe4478902a3480e" /><Relationship Type="http://schemas.openxmlformats.org/officeDocument/2006/relationships/worksheet" Target="/xl/worksheets/sheet4.xml" Id="R0ae6a190d249497a" /><Relationship Type="http://schemas.openxmlformats.org/officeDocument/2006/relationships/worksheet" Target="/xl/worksheets/sheet5.xml" Id="R87a40f8800e84506" /><Relationship Type="http://schemas.openxmlformats.org/officeDocument/2006/relationships/worksheet" Target="/xl/worksheets/sheet6.xml" Id="Rbf25515b94a3403e" /><Relationship Type="http://schemas.openxmlformats.org/officeDocument/2006/relationships/worksheet" Target="/xl/worksheets/sheet7.xml" Id="Re01ed1e8c14541c3" /><Relationship Type="http://schemas.openxmlformats.org/officeDocument/2006/relationships/worksheet" Target="/xl/worksheets/sheet8.xml" Id="R0d882f596fa4405c" /><Relationship Type="http://schemas.openxmlformats.org/officeDocument/2006/relationships/worksheet" Target="/xl/worksheets/sheet9.xml" Id="R046f5a293eb340da" /><Relationship Type="http://schemas.openxmlformats.org/officeDocument/2006/relationships/worksheet" Target="/xl/worksheets/sheet10.xml" Id="Rbc8b8bb957104c32" /><Relationship Type="http://schemas.openxmlformats.org/officeDocument/2006/relationships/worksheet" Target="/xl/worksheets/sheet11.xml" Id="R006251488cb74522" /><Relationship Type="http://schemas.openxmlformats.org/officeDocument/2006/relationships/worksheet" Target="/xl/worksheets/sheet12.xml" Id="Ra38c31631f1049bc" /><Relationship Type="http://schemas.openxmlformats.org/officeDocument/2006/relationships/worksheet" Target="/xl/worksheets/sheet13.xml" Id="R4dd1d1e54e74448c" /><Relationship Type="http://schemas.openxmlformats.org/officeDocument/2006/relationships/worksheet" Target="/xl/worksheets/sheet14.xml" Id="R58bc5345b1674486" /><Relationship Type="http://schemas.openxmlformats.org/officeDocument/2006/relationships/worksheet" Target="/xl/worksheets/sheet15.xml" Id="R740bbb20e57e42ae" /><Relationship Type="http://schemas.openxmlformats.org/officeDocument/2006/relationships/worksheet" Target="/xl/worksheets/sheet16.xml" Id="R9b5402fad7b647a8" /><Relationship Type="http://schemas.openxmlformats.org/officeDocument/2006/relationships/worksheet" Target="/xl/worksheets/sheet17.xml" Id="Re9ed3b45ecb748bf" /><Relationship Type="http://schemas.openxmlformats.org/officeDocument/2006/relationships/worksheet" Target="/xl/worksheets/sheet18.xml" Id="R717cf993db6a4e1c" /><Relationship Type="http://schemas.openxmlformats.org/officeDocument/2006/relationships/worksheet" Target="/xl/worksheets/sheet19.xml" Id="R66a2d80d4a8145b2" /><Relationship Type="http://schemas.openxmlformats.org/officeDocument/2006/relationships/worksheet" Target="/xl/worksheets/sheet20.xml" Id="Rddcfecc6f6954234" /><Relationship Type="http://schemas.openxmlformats.org/officeDocument/2006/relationships/worksheet" Target="/xl/worksheets/sheet21.xml" Id="R6d1f08935a354781" /><Relationship Type="http://schemas.openxmlformats.org/officeDocument/2006/relationships/worksheet" Target="/xl/worksheets/sheet22.xml" Id="R7100bde0faab4a65" /><Relationship Type="http://schemas.openxmlformats.org/officeDocument/2006/relationships/worksheet" Target="/xl/worksheets/sheet23.xml" Id="R48bc186ca367471e" /><Relationship Type="http://schemas.openxmlformats.org/officeDocument/2006/relationships/worksheet" Target="/xl/worksheets/sheet24.xml" Id="Rf62e32fd2e374394" /><Relationship Type="http://schemas.openxmlformats.org/officeDocument/2006/relationships/worksheet" Target="/xl/worksheets/sheet25.xml" Id="Re33d7388f42e4d2a" /><Relationship Type="http://schemas.openxmlformats.org/officeDocument/2006/relationships/worksheet" Target="/xl/worksheets/sheet26.xml" Id="R9b5b2df7868f4cd6" /><Relationship Type="http://schemas.openxmlformats.org/officeDocument/2006/relationships/worksheet" Target="/xl/worksheets/sheet27.xml" Id="R57c36d9cad294ece" /><Relationship Type="http://schemas.openxmlformats.org/officeDocument/2006/relationships/worksheet" Target="/xl/worksheets/sheet28.xml" Id="Rf7616fe078414692" /><Relationship Type="http://schemas.openxmlformats.org/officeDocument/2006/relationships/worksheet" Target="/xl/worksheets/sheet29.xml" Id="Rcf7c67f2af7b4cbd" /><Relationship Type="http://schemas.openxmlformats.org/officeDocument/2006/relationships/worksheet" Target="/xl/worksheets/sheet30.xml" Id="Rd5f7e8ca076c4a11" /><Relationship Type="http://schemas.openxmlformats.org/officeDocument/2006/relationships/worksheet" Target="/xl/worksheets/sheet31.xml" Id="R5c661aad27a3453e" /><Relationship Type="http://schemas.openxmlformats.org/officeDocument/2006/relationships/worksheet" Target="/xl/worksheets/sheet32.xml" Id="Rb4e1fce901a44fa0" /><Relationship Type="http://schemas.openxmlformats.org/officeDocument/2006/relationships/worksheet" Target="/xl/worksheets/sheet33.xml" Id="Rcf7ebfe3e34d45a9" /><Relationship Type="http://schemas.openxmlformats.org/officeDocument/2006/relationships/worksheet" Target="/xl/worksheets/sheet34.xml" Id="R83ba6d75cf2842a1" /><Relationship Type="http://schemas.openxmlformats.org/officeDocument/2006/relationships/worksheet" Target="/xl/worksheets/sheet35.xml" Id="Ra8802ffe37374fb2" /><Relationship Type="http://schemas.openxmlformats.org/officeDocument/2006/relationships/worksheet" Target="/xl/worksheets/sheet36.xml" Id="Reab9bc1b776a40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04e0789dff406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3b7e3dfaa8444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Scenario Ending Portfolio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name</c:v>
          </c:tx>
          <c:cat>
            <c:strRef>
              <c:f>'Scenario Comparison'!$A$2:$A$5</c:f>
              <c:strCache>
                <c:ptCount val="0"/>
              </c:strCache>
            </c:strRef>
          </c:cat>
          <c:val>
            <c:numRef>
              <c:f>'Scenario Comparison'!$B$2:$B$5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claim_age</c:v>
          </c:tx>
          <c:cat>
            <c:strRef>
              <c:f>'Scenario Comparison'!$A$2:$A$5</c:f>
              <c:strCache>
                <c:ptCount val="0"/>
              </c:strCache>
            </c:strRef>
          </c:cat>
          <c:val>
            <c:numRef>
              <c:f>'Scenario Comparison'!$C$2:$C$5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annual_roth_conversion</c:v>
          </c:tx>
          <c:cat>
            <c:strRef>
              <c:f>'Scenario Comparison'!$A$2:$A$5</c:f>
              <c:strCache>
                <c:ptCount val="0"/>
              </c:strCache>
            </c:strRef>
          </c:cat>
          <c:val>
            <c:numRef>
              <c:f>'Scenario Comparison'!$D$2:$D$5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Ending Portfolio by 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Ending Portfolio</c:v>
          </c:tx>
          <c:cat>
            <c:strRef>
              <c:f>'Advanced Scenario Dashboard'!$B$5:$B$6</c:f>
              <c:strCache>
                <c:ptCount val="0"/>
              </c:strCache>
            </c:strRef>
          </c:cat>
          <c:val>
            <c:numRef>
              <c:f>'Advanced Scenario Dashboard'!$C$5:$C$6</c:f>
              <c:numCache>
                <c:formatCode>$#,##0_);[Red]($#,##0);-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04e0789dff406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b7e3dfaa84445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774b88672ca741e3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2.xml" Id="R78a0446fc0f941a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4" t="str">
        <x:v>2026 Retirement Planning Dashboard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26" t="str">
        <x:v>Key Metric</x:v>
      </x:c>
      <x:c r="B4" s="26" t="str">
        <x:v>Value</x:v>
      </x:c>
      <x:c r="C4" s="25"/>
      <x:c r="D4" s="183" t="str">
        <x:v>RC1 Validated Results</x:v>
      </x:c>
      <x:c r="E4" s="183"/>
      <x:c r="F4" s="183"/>
      <x:c r="G4" s="183"/>
      <x:c r="H4" s="183"/>
    </x:row>
    <x:row r="5">
      <x:c r="A5" s="25" t="str">
        <x:v>Starting Portfolio</x:v>
      </x:c>
      <x:c r="B5" s="27" t="n">
        <x:f>Assumptions!B16+Assumptions!B17+Assumptions!B18+Assumptions!B19</x:f>
        <x:v>1750000</x:v>
      </x:c>
      <x:c r="C5" s="25"/>
      <x:c r="D5" s="182" t="str">
        <x:v>Metric</x:v>
      </x:c>
      <x:c r="E5" s="182" t="str">
        <x:v>Value</x:v>
      </x:c>
      <x:c r="F5" s="25"/>
      <x:c r="G5" s="25"/>
      <x:c r="H5" s="25"/>
    </x:row>
    <x:row r="6">
      <x:c r="A6" s="25" t="str">
        <x:v>Annual Spending</x:v>
      </x:c>
      <x:c r="B6" s="27" t="n">
        <x:f>Assumptions!B20</x:f>
        <x:v>85000</x:v>
      </x:c>
      <x:c r="C6" s="25"/>
      <x:c r="D6" s="25" t="str">
        <x:v>Ending portfolio</x:v>
      </x:c>
      <x:c r="E6" s="86" t="n">
        <x:f>'RC1 Summary'!B6</x:f>
        <x:v>6200448.3437886145</x:v>
      </x:c>
      <x:c r="F6" s="25"/>
      <x:c r="G6" s="25"/>
      <x:c r="H6" s="25"/>
    </x:row>
    <x:row r="7">
      <x:c r="A7" s="25" t="str">
        <x:v>Return Assumption</x:v>
      </x:c>
      <x:c r="B7" s="28" t="n">
        <x:f>Assumptions!B21</x:f>
        <x:v>0.07</x:v>
      </x:c>
      <x:c r="C7" s="25"/>
      <x:c r="D7" s="25" t="str">
        <x:v>Lifetime federal tax</x:v>
      </x:c>
      <x:c r="E7" s="86" t="n">
        <x:f>'RC1 Summary'!B7</x:f>
        <x:v>825218.3171548272</x:v>
      </x:c>
      <x:c r="F7" s="25"/>
      <x:c r="G7" s="25"/>
      <x:c r="H7" s="25"/>
    </x:row>
    <x:row r="8">
      <x:c r="A8" s="25" t="str">
        <x:v>Annual Roth Conversion</x:v>
      </x:c>
      <x:c r="B8" s="27" t="n">
        <x:f>Assumptions!B27</x:f>
        <x:v>50000</x:v>
      </x:c>
      <x:c r="C8" s="25"/>
      <x:c r="D8" s="25" t="str">
        <x:v>Lifetime IRMAA</x:v>
      </x:c>
      <x:c r="E8" s="86" t="n">
        <x:f>'RC1 Summary'!B9</x:f>
        <x:v>53539.2</x:v>
      </x:c>
      <x:c r="F8" s="25"/>
      <x:c r="G8" s="25"/>
      <x:c r="H8" s="25"/>
    </x:row>
    <x:row r="9">
      <x:c r="A9" s="25" t="str">
        <x:v>Spouse Claim Age</x:v>
      </x:c>
      <x:c r="B9" s="29" t="n">
        <x:f>Assumptions!B13</x:f>
        <x:v>67</x:v>
      </x:c>
      <x:c r="C9" s="25"/>
      <x:c r="D9" s="25" t="str">
        <x:v>Lifetime Roth conversions</x:v>
      </x:c>
      <x:c r="E9" s="86" t="n">
        <x:f>'RC1 Summary'!B10</x:f>
        <x:v>300000</x:v>
      </x:c>
      <x:c r="F9" s="25"/>
      <x:c r="G9" s="25"/>
      <x:c r="H9" s="25"/>
    </x:row>
    <x:row r="10">
      <x:c r="A10" s="25" t="str">
        <x:v>Projection End Age</x:v>
      </x:c>
      <x:c r="B10" s="29" t="n">
        <x:f>Assumptions!B8</x:f>
        <x:v>95</x:v>
      </x:c>
      <x:c r="C10" s="25"/>
      <x:c r="D10" s="25" t="str">
        <x:v>RC1 status</x:v>
      </x:c>
      <x:c r="E10" s="25" t="str">
        <x:f>'Validation Dashboard'!B12</x:f>
        <x:v>PASS</x:v>
      </x:c>
      <x:c r="F10" s="25"/>
      <x:c r="G10" s="25"/>
      <x:c r="H10" s="25"/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30" t="str">
        <x:v>Model Capabilities</x:v>
      </x:c>
      <x:c r="B12" s="30"/>
      <x:c r="C12" s="30"/>
      <x:c r="D12" s="30"/>
      <x:c r="E12" s="30"/>
      <x:c r="F12" s="30"/>
      <x:c r="G12" s="30"/>
      <x:c r="H12" s="30"/>
    </x:row>
    <x:row r="13">
      <x:c r="A13" s="26" t="str">
        <x:v>Federal Tax</x:v>
      </x:c>
      <x:c r="B13" s="26" t="str">
        <x:v>SS Taxation</x:v>
      </x:c>
      <x:c r="C13" s="26" t="str">
        <x:v>RMDs</x:v>
      </x:c>
      <x:c r="D13" s="26" t="str">
        <x:v>Roth</x:v>
      </x:c>
      <x:c r="E13" s="26" t="str">
        <x:v>IRMAA</x:v>
      </x:c>
      <x:c r="F13" s="26" t="str">
        <x:v>Scenarios</x:v>
      </x:c>
      <x:c r="G13" s="26" t="str">
        <x:v>Monte Carlo</x:v>
      </x:c>
      <x:c r="H13" s="26" t="str">
        <x:v>Reports</x:v>
      </x:c>
    </x:row>
    <x:row r="14">
      <x:c r="A14" s="25" t="str">
        <x:v>2026 MFJ</x:v>
      </x:c>
      <x:c r="B14" s="25" t="str">
        <x:v>Provisional income</x:v>
      </x:c>
      <x:c r="C14" s="25" t="str">
        <x:v>Uniform Lifetime</x:v>
      </x:c>
      <x:c r="D14" s="25" t="str">
        <x:v>Age schedule</x:v>
      </x:c>
      <x:c r="E14" s="25" t="str">
        <x:v>Configurable</x:v>
      </x:c>
      <x:c r="F14" s="25" t="str">
        <x:v>65 / 67 / 70</x:v>
      </x:c>
      <x:c r="G14" s="25" t="str">
        <x:v>Sequence risk</x:v>
      </x:c>
      <x:c r="H14" s="25" t="str">
        <x:v>CSV / JSON / HTML</x:v>
      </x:c>
    </x:row>
    <x:row r="15">
      <x:c r="A15" s="25"/>
      <x:c r="B15" s="25"/>
      <x:c r="C15" s="25"/>
      <x:c r="D15" s="25"/>
      <x:c r="E15" s="25"/>
      <x:c r="F15" s="25"/>
      <x:c r="G15" s="25"/>
      <x:c r="H15" s="25"/>
    </x:row>
    <x:row r="16">
      <x:c r="A16" s="25"/>
      <x:c r="B16" s="25"/>
      <x:c r="C16" s="25"/>
      <x:c r="D16" s="25"/>
      <x:c r="E16" s="25"/>
      <x:c r="F16" s="25"/>
      <x:c r="G16" s="25"/>
      <x:c r="H16" s="25"/>
    </x:row>
  </x:sheetData>
  <x:mergeCells>
    <x:mergeCell ref="A1:H2"/>
    <x:mergeCell ref="A12:H12"/>
    <x:mergeCell ref="D4:H4"/>
  </x:mergeCells>
  <x:conditionalFormatting sqref="E10:E10">
    <x:cfRule type="expression" dxfId="19" priority="1">
      <x:formula>E10="PASS"</x:formula>
    </x:cfRule>
    <x:cfRule type="expression" dxfId="20" priority="2">
      <x:formula>E10="FAIL"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28" hidden="0" customWidth="1"/>
  </x:cols>
  <x:sheetData>
    <x:row r="1">
      <x:c r="A1" s="3" t="str">
        <x:v>Household &amp; Planning Assumptions</x:v>
      </x:c>
      <x:c r="B1" s="3"/>
      <x:c r="C1" s="3"/>
      <x:c r="D1" s="3"/>
    </x:row>
    <x:row r="2">
      <x:c r="A2" s="3"/>
      <x:c r="B2" s="3"/>
      <x:c r="C2" s="3"/>
      <x:c r="D2" s="3"/>
    </x:row>
    <x:row r="4">
      <x:c r="A4" s="9" t="str">
        <x:v>Input</x:v>
      </x:c>
      <x:c r="B4" s="9" t="str">
        <x:v>Value</x:v>
      </x:c>
      <x:c r="C4" s="9" t="str">
        <x:v>Units</x:v>
      </x:c>
      <x:c r="D4" s="9" t="str">
        <x:v>Notes</x:v>
      </x:c>
    </x:row>
    <x:row r="5">
      <x:c r="A5" t="str">
        <x:v>Start Year</x:v>
      </x:c>
      <x:c r="B5" s="38" t="n">
        <x:v>2026</x:v>
      </x:c>
      <x:c r="C5" t="str">
        <x:v>year</x:v>
      </x:c>
      <x:c r="D5" t="str">
        <x:v>Editable</x:v>
      </x:c>
    </x:row>
    <x:row r="6">
      <x:c r="A6" t="str">
        <x:v>Primary Age</x:v>
      </x:c>
      <x:c r="B6" s="38" t="n">
        <x:v>68</x:v>
      </x:c>
      <x:c r="C6" t="str">
        <x:v>years</x:v>
      </x:c>
      <x:c r="D6" t="str">
        <x:v>Editable</x:v>
      </x:c>
    </x:row>
    <x:row r="7">
      <x:c r="A7" t="str">
        <x:v>Spouse Age</x:v>
      </x:c>
      <x:c r="B7" s="38" t="n">
        <x:v>65</x:v>
      </x:c>
      <x:c r="C7" t="str">
        <x:v>years</x:v>
      </x:c>
      <x:c r="D7" t="str">
        <x:v>Editable</x:v>
      </x:c>
    </x:row>
    <x:row r="8">
      <x:c r="A8" t="str">
        <x:v>End Age</x:v>
      </x:c>
      <x:c r="B8" s="38" t="n">
        <x:v>95</x:v>
      </x:c>
      <x:c r="C8" t="str">
        <x:v>years</x:v>
      </x:c>
      <x:c r="D8" t="str">
        <x:v>Editable</x:v>
      </x:c>
    </x:row>
    <x:row r="9">
      <x:c r="A9" t="str">
        <x:v>Filing Status</x:v>
      </x:c>
      <x:c r="B9" s="38" t="str">
        <x:v>MFJ</x:v>
      </x:c>
      <x:c r="C9" t="str"/>
      <x:c r="D9" t="str">
        <x:v>MFJ engine</x:v>
      </x:c>
    </x:row>
    <x:row r="10">
      <x:c r="A10" t="str">
        <x:v>Primary Social Security</x:v>
      </x:c>
      <x:c r="B10" s="38" t="n">
        <x:v>34872.72</x:v>
      </x:c>
      <x:c r="C10" t="str">
        <x:v>$/year</x:v>
      </x:c>
      <x:c r="D10" t="str">
        <x:v>Annual benefit</x:v>
      </x:c>
    </x:row>
    <x:row r="11">
      <x:c r="A11" t="str">
        <x:v>Spouse SS at 65</x:v>
      </x:c>
      <x:c r="B11" s="42" t="n">
        <x:v>33816</x:v>
      </x:c>
      <x:c r="C11" t="str">
        <x:v>$/year</x:v>
      </x:c>
      <x:c r="D11" t="str">
        <x:v>Claiming option</x:v>
      </x:c>
    </x:row>
    <x:row r="12">
      <x:c r="A12" t="str">
        <x:v>Spouse SS at 67</x:v>
      </x:c>
      <x:c r="B12" s="43" t="n">
        <x:v>39024</x:v>
      </x:c>
      <x:c r="C12" t="str">
        <x:v>$/year</x:v>
      </x:c>
      <x:c r="D12" t="str">
        <x:v>Claiming option</x:v>
      </x:c>
    </x:row>
    <x:row r="13">
      <x:c r="A13" t="str">
        <x:v>Spouse Claim Age</x:v>
      </x:c>
      <x:c r="B13" s="43" t="n">
        <x:v>67</x:v>
      </x:c>
      <x:c r="C13" t="str">
        <x:v>age</x:v>
      </x:c>
      <x:c r="D13" t="str">
        <x:v>65, 67, or 70</x:v>
      </x:c>
    </x:row>
    <x:row r="14">
      <x:c r="A14" t="str">
        <x:v>Spouse SS at 70</x:v>
      </x:c>
      <x:c r="B14" s="43" t="n">
        <x:v>48384</x:v>
      </x:c>
      <x:c r="C14" t="str">
        <x:v>$/year</x:v>
      </x:c>
      <x:c r="D14" t="str">
        <x:v>Claiming option</x:v>
      </x:c>
    </x:row>
    <x:row r="15">
      <x:c r="A15" t="str">
        <x:v>Pension</x:v>
      </x:c>
      <x:c r="B15" s="43" t="n">
        <x:v>9593.4</x:v>
      </x:c>
      <x:c r="C15" t="str">
        <x:v>$/year</x:v>
      </x:c>
      <x:c r="D15" t="str">
        <x:v>Annual pension</x:v>
      </x:c>
    </x:row>
    <x:row r="16">
      <x:c r="A16" t="str">
        <x:v>Primary IRA</x:v>
      </x:c>
      <x:c r="B16" s="43" t="n">
        <x:v>400000</x:v>
      </x:c>
      <x:c r="C16" t="str">
        <x:v>$</x:v>
      </x:c>
      <x:c r="D16" t="str">
        <x:v>Starting balance</x:v>
      </x:c>
    </x:row>
    <x:row r="17">
      <x:c r="A17" t="str">
        <x:v>Spouse IRA</x:v>
      </x:c>
      <x:c r="B17" s="43" t="n">
        <x:v>1200000</x:v>
      </x:c>
      <x:c r="C17" t="str">
        <x:v>$</x:v>
      </x:c>
      <x:c r="D17" t="str">
        <x:v>Starting balance</x:v>
      </x:c>
    </x:row>
    <x:row r="18">
      <x:c r="A18" t="str">
        <x:v>Roth Balance</x:v>
      </x:c>
      <x:c r="B18" s="43" t="n">
        <x:v>0</x:v>
      </x:c>
      <x:c r="C18" t="str">
        <x:v>$</x:v>
      </x:c>
      <x:c r="D18" t="str">
        <x:v>Starting balance</x:v>
      </x:c>
    </x:row>
    <x:row r="19">
      <x:c r="A19" t="str">
        <x:v>Taxable Balance</x:v>
      </x:c>
      <x:c r="B19" s="43" t="n">
        <x:v>150000</x:v>
      </x:c>
      <x:c r="C19" t="str">
        <x:v>$</x:v>
      </x:c>
      <x:c r="D19" t="str">
        <x:v>Starting balance</x:v>
      </x:c>
    </x:row>
    <x:row r="20">
      <x:c r="A20" t="str">
        <x:v>Annual Spending</x:v>
      </x:c>
      <x:c r="B20" s="43" t="n">
        <x:v>85000</x:v>
      </x:c>
      <x:c r="C20" t="str">
        <x:v>$/year</x:v>
      </x:c>
      <x:c r="D20" t="str">
        <x:v>Before inflation</x:v>
      </x:c>
    </x:row>
    <x:row r="21">
      <x:c r="A21" t="str">
        <x:v>Return Rate</x:v>
      </x:c>
      <x:c r="B21" s="46" t="n">
        <x:v>0.07</x:v>
      </x:c>
      <x:c r="C21" t="str">
        <x:v>%</x:v>
      </x:c>
      <x:c r="D21" t="str">
        <x:v>Nominal</x:v>
      </x:c>
    </x:row>
    <x:row r="22">
      <x:c r="A22" t="str">
        <x:v>Taxable Return</x:v>
      </x:c>
      <x:c r="B22" s="46" t="n">
        <x:v>0.05</x:v>
      </x:c>
      <x:c r="C22" t="str">
        <x:v>%</x:v>
      </x:c>
      <x:c r="D22" t="str">
        <x:v>Nominal</x:v>
      </x:c>
    </x:row>
    <x:row r="23">
      <x:c r="A23" t="str">
        <x:v>Inflation</x:v>
      </x:c>
      <x:c r="B23" s="46" t="n">
        <x:v>0.025</x:v>
      </x:c>
      <x:c r="C23" t="str">
        <x:v>%</x:v>
      </x:c>
      <x:c r="D23" t="str">
        <x:v>Annual</x:v>
      </x:c>
    </x:row>
    <x:row r="24">
      <x:c r="A24" t="str">
        <x:v>SS COLA</x:v>
      </x:c>
      <x:c r="B24" s="46" t="n">
        <x:v>0.025</x:v>
      </x:c>
      <x:c r="C24" t="str">
        <x:v>%</x:v>
      </x:c>
      <x:c r="D24" t="str">
        <x:v>Annual</x:v>
      </x:c>
    </x:row>
    <x:row r="25">
      <x:c r="A25" t="str">
        <x:v>Conversion Start Age</x:v>
      </x:c>
      <x:c r="B25" s="38" t="n">
        <x:v>68</x:v>
      </x:c>
      <x:c r="C25" t="str">
        <x:v>age</x:v>
      </x:c>
      <x:c r="D25" t="str"/>
    </x:row>
    <x:row r="26">
      <x:c r="A26" t="str">
        <x:v>Conversion End Age</x:v>
      </x:c>
      <x:c r="B26" s="38" t="n">
        <x:v>73</x:v>
      </x:c>
      <x:c r="C26" t="str">
        <x:v>age</x:v>
      </x:c>
      <x:c r="D26" t="str"/>
    </x:row>
    <x:row r="27">
      <x:c r="A27" t="str">
        <x:v>Annual Roth Conversion</x:v>
      </x:c>
      <x:c r="B27" s="42" t="n">
        <x:v>50000</x:v>
      </x:c>
      <x:c r="C27" t="str">
        <x:v>$/year</x:v>
      </x:c>
      <x:c r="D27" t="str">
        <x:v>Editable</x:v>
      </x:c>
    </x:row>
  </x:sheetData>
  <x:mergeCells>
    <x:mergeCell ref="A1:D2"/>
  </x:mergeCells>
  <x:dataValidations count="1">
    <x:dataValidation type="list" sqref="B11">
      <x:formula1>"65,67,70"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38" hidden="0" customWidth="1"/>
  </x:cols>
  <x:sheetData>
    <x:row r="1">
      <x:c r="A1" s="3" t="str">
        <x:v>2026 Federal Tax Inputs — Married Filing Jointly</x:v>
      </x:c>
      <x:c r="B1" s="3"/>
      <x:c r="C1" s="3"/>
      <x:c r="D1" s="3"/>
    </x:row>
    <x:row r="2">
      <x:c r="A2" s="3"/>
      <x:c r="B2" s="3"/>
      <x:c r="C2" s="3"/>
      <x:c r="D2" s="3"/>
    </x:row>
    <x:row r="4">
      <x:c r="A4" s="9" t="str">
        <x:v>Lower Limit</x:v>
      </x:c>
      <x:c r="B4" s="9" t="str">
        <x:v>Upper Limit</x:v>
      </x:c>
      <x:c r="C4" s="9" t="str">
        <x:v>Rate</x:v>
      </x:c>
      <x:c r="D4" s="9" t="str">
        <x:v>Source / Note</x:v>
      </x:c>
    </x:row>
    <x:row r="5">
      <x:c r="A5" s="48" t="n">
        <x:v>0</x:v>
      </x:c>
      <x:c r="B5" s="48" t="n">
        <x:v>24800</x:v>
      </x:c>
      <x:c r="C5" s="50" t="n">
        <x:v>0.1</x:v>
      </x:c>
      <x:c r="D5" t="str">
        <x:v>IRS 2026 inflation adjustments</x:v>
      </x:c>
    </x:row>
    <x:row r="6">
      <x:c r="A6" s="48" t="n">
        <x:v>24800</x:v>
      </x:c>
      <x:c r="B6" s="48" t="n">
        <x:v>100800</x:v>
      </x:c>
      <x:c r="C6" s="50" t="n">
        <x:v>0.12</x:v>
      </x:c>
      <x:c r="D6" t="str">
        <x:v>IRS 2026 inflation adjustments</x:v>
      </x:c>
    </x:row>
    <x:row r="7">
      <x:c r="A7" s="48" t="n">
        <x:v>100800</x:v>
      </x:c>
      <x:c r="B7" s="48" t="n">
        <x:v>211400</x:v>
      </x:c>
      <x:c r="C7" s="50" t="n">
        <x:v>0.22</x:v>
      </x:c>
      <x:c r="D7" t="str">
        <x:v>IRS 2026 inflation adjustments</x:v>
      </x:c>
    </x:row>
    <x:row r="8">
      <x:c r="A8" s="48" t="n">
        <x:v>211400</x:v>
      </x:c>
      <x:c r="B8" s="48" t="n">
        <x:v>403550</x:v>
      </x:c>
      <x:c r="C8" s="50" t="n">
        <x:v>0.24</x:v>
      </x:c>
      <x:c r="D8" t="str">
        <x:v>IRS 2026 inflation adjustments</x:v>
      </x:c>
    </x:row>
    <x:row r="9">
      <x:c r="A9" s="48" t="n">
        <x:v>403550</x:v>
      </x:c>
      <x:c r="B9" s="48" t="n">
        <x:v>512450</x:v>
      </x:c>
      <x:c r="C9" s="50" t="n">
        <x:v>0.32</x:v>
      </x:c>
      <x:c r="D9" t="str">
        <x:v>IRS 2026 inflation adjustments</x:v>
      </x:c>
    </x:row>
    <x:row r="10">
      <x:c r="A10" s="48" t="n">
        <x:v>512450</x:v>
      </x:c>
      <x:c r="B10" s="48" t="n">
        <x:v>768700</x:v>
      </x:c>
      <x:c r="C10" s="50" t="n">
        <x:v>0.35</x:v>
      </x:c>
      <x:c r="D10" t="str">
        <x:v>IRS 2026 inflation adjustments</x:v>
      </x:c>
    </x:row>
    <x:row r="11">
      <x:c r="A11" s="48" t="n">
        <x:v>768700</x:v>
      </x:c>
      <x:c r="B11" s="48"/>
      <x:c r="C11" s="50" t="n">
        <x:v>0.37</x:v>
      </x:c>
      <x:c r="D11" t="str">
        <x:v>IRS 2026 inflation adjustments</x:v>
      </x:c>
    </x:row>
    <x:row r="14">
      <x:c r="A14" s="9" t="str">
        <x:v>Deduction</x:v>
      </x:c>
      <x:c r="B14" s="9" t="str">
        <x:v>Amount</x:v>
      </x:c>
    </x:row>
    <x:row r="15">
      <x:c r="A15" t="str">
        <x:v>Standard Deduction</x:v>
      </x:c>
      <x:c r="B15" s="48" t="n">
        <x:v>32200</x:v>
      </x:c>
    </x:row>
    <x:row r="16">
      <x:c r="A16" t="str">
        <x:v>Additional 65+ per person</x:v>
      </x:c>
      <x:c r="B16" s="48" t="n">
        <x:v>1650</x:v>
      </x:c>
    </x:row>
    <x:row r="17">
      <x:c r="A17" t="str">
        <x:v>Senior bonus per person</x:v>
      </x:c>
      <x:c r="B17" s="48" t="n">
        <x:v>6000</x:v>
      </x:c>
    </x:row>
    <x:row r="18">
      <x:c r="A18" t="str">
        <x:v>Senior bonus phaseout starts MFJ</x:v>
      </x:c>
      <x:c r="B18" s="48" t="n">
        <x:v>150000</x:v>
      </x:c>
    </x:row>
  </x:sheetData>
  <x:mergeCells>
    <x:mergeCell ref="A1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4" hidden="0" customWidth="1"/>
  </x:cols>
  <x:sheetData>
    <x:row r="1">
      <x:c r="A1" s="3" t="str">
        <x:v>Medicare IRMAA Assumptions</x:v>
      </x:c>
      <x:c r="B1" s="3"/>
      <x:c r="C1" s="3"/>
      <x:c r="D1" s="3"/>
      <x:c r="E1" s="3"/>
    </x:row>
    <x:row r="2">
      <x:c r="A2" s="3"/>
      <x:c r="B2" s="3"/>
      <x:c r="C2" s="3"/>
      <x:c r="D2" s="3"/>
      <x:c r="E2" s="3"/>
    </x:row>
    <x:row r="4">
      <x:c r="A4" s="9" t="str">
        <x:v>Tier</x:v>
      </x:c>
      <x:c r="B4" s="9" t="str">
        <x:v>MFJ MAGI Lower</x:v>
      </x:c>
      <x:c r="C4" s="9" t="str">
        <x:v>MFJ MAGI Upper</x:v>
      </x:c>
      <x:c r="D4" s="9" t="str">
        <x:v>Annual Surcharge / Person</x:v>
      </x:c>
      <x:c r="E4" s="9" t="str">
        <x:v>Review Status</x:v>
      </x:c>
    </x:row>
    <x:row r="5">
      <x:c r="A5" t="n">
        <x:v>0</x:v>
      </x:c>
      <x:c r="B5" s="48" t="n">
        <x:v>0</x:v>
      </x:c>
      <x:c r="C5" s="48" t="n">
        <x:v>212000</x:v>
      </x:c>
      <x:c r="D5" s="48" t="n">
        <x:v>0</x:v>
      </x:c>
      <x:c r="E5" t="str">
        <x:v>Base premium</x:v>
      </x:c>
    </x:row>
    <x:row r="6">
      <x:c r="A6" t="n">
        <x:v>1</x:v>
      </x:c>
      <x:c r="B6" s="48" t="n">
        <x:v>212000</x:v>
      </x:c>
      <x:c r="C6" s="48" t="n">
        <x:v>266000</x:v>
      </x:c>
      <x:c r="D6" s="48" t="n">
        <x:v>1035.6</x:v>
      </x:c>
      <x:c r="E6" t="str">
        <x:v>Validate annually</x:v>
      </x:c>
    </x:row>
    <x:row r="7">
      <x:c r="A7" t="n">
        <x:v>2</x:v>
      </x:c>
      <x:c r="B7" s="48" t="n">
        <x:v>266000</x:v>
      </x:c>
      <x:c r="C7" s="48" t="n">
        <x:v>334000</x:v>
      </x:c>
      <x:c r="D7" s="48" t="n">
        <x:v>2606.4</x:v>
      </x:c>
      <x:c r="E7" t="str">
        <x:v>Validate annually</x:v>
      </x:c>
    </x:row>
    <x:row r="8">
      <x:c r="A8" t="n">
        <x:v>3</x:v>
      </x:c>
      <x:c r="B8" s="48" t="n">
        <x:v>334000</x:v>
      </x:c>
      <x:c r="C8" s="48" t="n">
        <x:v>400000</x:v>
      </x:c>
      <x:c r="D8" s="48" t="n">
        <x:v>4177.2</x:v>
      </x:c>
      <x:c r="E8" t="str">
        <x:v>Validate annually</x:v>
      </x:c>
    </x:row>
    <x:row r="9">
      <x:c r="A9" t="n">
        <x:v>4</x:v>
      </x:c>
      <x:c r="B9" s="48" t="n">
        <x:v>400000</x:v>
      </x:c>
      <x:c r="C9" s="48" t="n">
        <x:v>750000</x:v>
      </x:c>
      <x:c r="D9" s="48" t="n">
        <x:v>5748</x:v>
      </x:c>
      <x:c r="E9" t="str">
        <x:v>Validate annually</x:v>
      </x:c>
    </x:row>
    <x:row r="10">
      <x:c r="A10" t="n">
        <x:v>5</x:v>
      </x:c>
      <x:c r="B10" s="48" t="n">
        <x:v>750000</x:v>
      </x:c>
      <x:c r="C10" s="48"/>
      <x:c r="D10" s="48" t="n">
        <x:v>6283.2</x:v>
      </x:c>
      <x:c r="E10" t="str">
        <x:v>Validate annually</x:v>
      </x:c>
    </x:row>
  </x:sheetData>
  <x:mergeCells>
    <x:mergeCell ref="A1:E2"/>
  </x:mergeCells>
  <x:conditionalFormatting sqref="E5:E10">
    <x:cfRule type="expression" dxfId="0" priority="1">
      <x:formula>E5="Validate annually"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42" hidden="0" customWidth="1"/>
  </x:cols>
  <x:sheetData>
    <x:row r="1">
      <x:c r="A1" s="3" t="str">
        <x:v>IRS Uniform Lifetime Table Factors</x:v>
      </x:c>
      <x:c r="B1" s="3"/>
      <x:c r="C1" s="3"/>
    </x:row>
    <x:row r="2">
      <x:c r="A2" s="3"/>
      <x:c r="B2" s="3"/>
      <x:c r="C2" s="3"/>
    </x:row>
    <x:row r="4">
      <x:c r="A4" s="9" t="str">
        <x:v>Age</x:v>
      </x:c>
      <x:c r="B4" s="9" t="str">
        <x:v>Distribution Period</x:v>
      </x:c>
      <x:c r="C4" s="9" t="str">
        <x:v>Source</x:v>
      </x:c>
    </x:row>
    <x:row r="5">
      <x:c r="A5" t="n">
        <x:v>72</x:v>
      </x:c>
      <x:c r="B5" s="52" t="n">
        <x:v>27.4</x:v>
      </x:c>
      <x:c r="C5" t="str">
        <x:v>IRS Pub. 590-B Uniform Lifetime Table</x:v>
      </x:c>
    </x:row>
    <x:row r="6">
      <x:c r="A6" t="n">
        <x:v>73</x:v>
      </x:c>
      <x:c r="B6" s="52" t="n">
        <x:v>26.5</x:v>
      </x:c>
      <x:c r="C6" t="str">
        <x:v>IRS Pub. 590-B Uniform Lifetime Table</x:v>
      </x:c>
    </x:row>
    <x:row r="7">
      <x:c r="A7" t="n">
        <x:v>74</x:v>
      </x:c>
      <x:c r="B7" s="52" t="n">
        <x:v>25.5</x:v>
      </x:c>
      <x:c r="C7" t="str">
        <x:v>IRS Pub. 590-B Uniform Lifetime Table</x:v>
      </x:c>
    </x:row>
    <x:row r="8">
      <x:c r="A8" t="n">
        <x:v>75</x:v>
      </x:c>
      <x:c r="B8" s="52" t="n">
        <x:v>24.6</x:v>
      </x:c>
      <x:c r="C8" t="str">
        <x:v>IRS Pub. 590-B Uniform Lifetime Table</x:v>
      </x:c>
    </x:row>
    <x:row r="9">
      <x:c r="A9" t="n">
        <x:v>76</x:v>
      </x:c>
      <x:c r="B9" s="52" t="n">
        <x:v>23.7</x:v>
      </x:c>
      <x:c r="C9" t="str">
        <x:v>IRS Pub. 590-B Uniform Lifetime Table</x:v>
      </x:c>
    </x:row>
    <x:row r="10">
      <x:c r="A10" t="n">
        <x:v>77</x:v>
      </x:c>
      <x:c r="B10" s="52" t="n">
        <x:v>22.9</x:v>
      </x:c>
      <x:c r="C10" t="str">
        <x:v>IRS Pub. 590-B Uniform Lifetime Table</x:v>
      </x:c>
    </x:row>
    <x:row r="11">
      <x:c r="A11" t="n">
        <x:v>78</x:v>
      </x:c>
      <x:c r="B11" s="52" t="n">
        <x:v>22</x:v>
      </x:c>
      <x:c r="C11" t="str">
        <x:v>IRS Pub. 590-B Uniform Lifetime Table</x:v>
      </x:c>
    </x:row>
    <x:row r="12">
      <x:c r="A12" t="n">
        <x:v>79</x:v>
      </x:c>
      <x:c r="B12" s="52" t="n">
        <x:v>21.1</x:v>
      </x:c>
      <x:c r="C12" t="str">
        <x:v>IRS Pub. 590-B Uniform Lifetime Table</x:v>
      </x:c>
    </x:row>
    <x:row r="13">
      <x:c r="A13" t="n">
        <x:v>80</x:v>
      </x:c>
      <x:c r="B13" s="52" t="n">
        <x:v>20.2</x:v>
      </x:c>
      <x:c r="C13" t="str">
        <x:v>IRS Pub. 590-B Uniform Lifetime Table</x:v>
      </x:c>
    </x:row>
    <x:row r="14">
      <x:c r="A14" t="n">
        <x:v>81</x:v>
      </x:c>
      <x:c r="B14" s="52" t="n">
        <x:v>19.4</x:v>
      </x:c>
      <x:c r="C14" t="str">
        <x:v>IRS Pub. 590-B Uniform Lifetime Table</x:v>
      </x:c>
    </x:row>
    <x:row r="15">
      <x:c r="A15" t="n">
        <x:v>82</x:v>
      </x:c>
      <x:c r="B15" s="52" t="n">
        <x:v>18.5</x:v>
      </x:c>
      <x:c r="C15" t="str">
        <x:v>IRS Pub. 590-B Uniform Lifetime Table</x:v>
      </x:c>
    </x:row>
    <x:row r="16">
      <x:c r="A16" t="n">
        <x:v>83</x:v>
      </x:c>
      <x:c r="B16" s="52" t="n">
        <x:v>17.7</x:v>
      </x:c>
      <x:c r="C16" t="str">
        <x:v>IRS Pub. 590-B Uniform Lifetime Table</x:v>
      </x:c>
    </x:row>
    <x:row r="17">
      <x:c r="A17" t="n">
        <x:v>84</x:v>
      </x:c>
      <x:c r="B17" s="52" t="n">
        <x:v>16.8</x:v>
      </x:c>
      <x:c r="C17" t="str">
        <x:v>IRS Pub. 590-B Uniform Lifetime Table</x:v>
      </x:c>
    </x:row>
    <x:row r="18">
      <x:c r="A18" t="n">
        <x:v>85</x:v>
      </x:c>
      <x:c r="B18" s="52" t="n">
        <x:v>16</x:v>
      </x:c>
      <x:c r="C18" t="str">
        <x:v>IRS Pub. 590-B Uniform Lifetime Table</x:v>
      </x:c>
    </x:row>
    <x:row r="19">
      <x:c r="A19" t="n">
        <x:v>86</x:v>
      </x:c>
      <x:c r="B19" s="52" t="n">
        <x:v>15.2</x:v>
      </x:c>
      <x:c r="C19" t="str">
        <x:v>IRS Pub. 590-B Uniform Lifetime Table</x:v>
      </x:c>
    </x:row>
    <x:row r="20">
      <x:c r="A20" t="n">
        <x:v>87</x:v>
      </x:c>
      <x:c r="B20" s="52" t="n">
        <x:v>14.4</x:v>
      </x:c>
      <x:c r="C20" t="str">
        <x:v>IRS Pub. 590-B Uniform Lifetime Table</x:v>
      </x:c>
    </x:row>
    <x:row r="21">
      <x:c r="A21" t="n">
        <x:v>88</x:v>
      </x:c>
      <x:c r="B21" s="52" t="n">
        <x:v>13.7</x:v>
      </x:c>
      <x:c r="C21" t="str">
        <x:v>IRS Pub. 590-B Uniform Lifetime Table</x:v>
      </x:c>
    </x:row>
    <x:row r="22">
      <x:c r="A22" t="n">
        <x:v>89</x:v>
      </x:c>
      <x:c r="B22" s="52" t="n">
        <x:v>12.9</x:v>
      </x:c>
      <x:c r="C22" t="str">
        <x:v>IRS Pub. 590-B Uniform Lifetime Table</x:v>
      </x:c>
    </x:row>
    <x:row r="23">
      <x:c r="A23" t="n">
        <x:v>90</x:v>
      </x:c>
      <x:c r="B23" s="52" t="n">
        <x:v>12.2</x:v>
      </x:c>
      <x:c r="C23" t="str">
        <x:v>IRS Pub. 590-B Uniform Lifetime Table</x:v>
      </x:c>
    </x:row>
    <x:row r="24">
      <x:c r="A24" t="n">
        <x:v>91</x:v>
      </x:c>
      <x:c r="B24" s="52" t="n">
        <x:v>11.5</x:v>
      </x:c>
      <x:c r="C24" t="str">
        <x:v>IRS Pub. 590-B Uniform Lifetime Table</x:v>
      </x:c>
    </x:row>
    <x:row r="25">
      <x:c r="A25" t="n">
        <x:v>92</x:v>
      </x:c>
      <x:c r="B25" s="52" t="n">
        <x:v>10.8</x:v>
      </x:c>
      <x:c r="C25" t="str">
        <x:v>IRS Pub. 590-B Uniform Lifetime Table</x:v>
      </x:c>
    </x:row>
    <x:row r="26">
      <x:c r="A26" t="n">
        <x:v>93</x:v>
      </x:c>
      <x:c r="B26" s="52" t="n">
        <x:v>10.1</x:v>
      </x:c>
      <x:c r="C26" t="str">
        <x:v>IRS Pub. 590-B Uniform Lifetime Table</x:v>
      </x:c>
    </x:row>
    <x:row r="27">
      <x:c r="A27" t="n">
        <x:v>94</x:v>
      </x:c>
      <x:c r="B27" s="52" t="n">
        <x:v>9.5</x:v>
      </x:c>
      <x:c r="C27" t="str">
        <x:v>IRS Pub. 590-B Uniform Lifetime Table</x:v>
      </x:c>
    </x:row>
    <x:row r="28">
      <x:c r="A28" t="n">
        <x:v>95</x:v>
      </x:c>
      <x:c r="B28" s="52" t="n">
        <x:v>8.9</x:v>
      </x:c>
      <x:c r="C28" t="str">
        <x:v>IRS Pub. 590-B Uniform Lifetime Table</x:v>
      </x:c>
    </x:row>
    <x:row r="29">
      <x:c r="A29" t="n">
        <x:v>96</x:v>
      </x:c>
      <x:c r="B29" s="52" t="n">
        <x:v>8.4</x:v>
      </x:c>
      <x:c r="C29" t="str">
        <x:v>IRS Pub. 590-B Uniform Lifetime Table</x:v>
      </x:c>
    </x:row>
    <x:row r="30">
      <x:c r="A30" t="n">
        <x:v>97</x:v>
      </x:c>
      <x:c r="B30" s="52" t="n">
        <x:v>7.8</x:v>
      </x:c>
      <x:c r="C30" t="str">
        <x:v>IRS Pub. 590-B Uniform Lifetime Table</x:v>
      </x:c>
    </x:row>
    <x:row r="31">
      <x:c r="A31" t="n">
        <x:v>98</x:v>
      </x:c>
      <x:c r="B31" s="52" t="n">
        <x:v>7.3</x:v>
      </x:c>
      <x:c r="C31" t="str">
        <x:v>IRS Pub. 590-B Uniform Lifetime Table</x:v>
      </x:c>
    </x:row>
    <x:row r="32">
      <x:c r="A32" t="n">
        <x:v>99</x:v>
      </x:c>
      <x:c r="B32" s="52" t="n">
        <x:v>6.8</x:v>
      </x:c>
      <x:c r="C32" t="str">
        <x:v>IRS Pub. 590-B Uniform Lifetime Table</x:v>
      </x:c>
    </x:row>
    <x:row r="33">
      <x:c r="A33" t="n">
        <x:v>100</x:v>
      </x:c>
      <x:c r="B33" s="52" t="n">
        <x:v>6.4</x:v>
      </x:c>
      <x:c r="C33" t="str">
        <x:v>IRS Pub. 590-B Uniform Lifetime Table</x:v>
      </x:c>
    </x:row>
    <x:row r="34">
      <x:c r="B34" s="52"/>
    </x:row>
    <x:row r="35">
      <x:c r="B35" s="52"/>
    </x:row>
    <x:row r="36">
      <x:c r="B36" s="52"/>
    </x:row>
    <x:row r="37">
      <x:c r="B37" s="52"/>
    </x:row>
    <x:row r="38">
      <x:c r="B38" s="52"/>
    </x:row>
    <x:row r="39">
      <x:c r="B39" s="52"/>
    </x:row>
    <x:row r="40">
      <x:c r="B40" s="52"/>
    </x:row>
  </x:sheetData>
  <x:mergeCells>
    <x:mergeCell ref="A1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</x:cols>
  <x:sheetData>
    <x:row r="1">
      <x:c r="A1" s="191" t="str">
        <x:v>year</x:v>
      </x:c>
      <x:c r="B1" s="191" t="str">
        <x:v>primary_age</x:v>
      </x:c>
      <x:c r="C1" s="191" t="str">
        <x:v>spouse_age</x:v>
      </x:c>
      <x:c r="D1" s="191" t="str">
        <x:v>primary_ss</x:v>
      </x:c>
      <x:c r="E1" s="191" t="str">
        <x:v>spouse_ss</x:v>
      </x:c>
      <x:c r="F1" s="191" t="str">
        <x:v>pension</x:v>
      </x:c>
      <x:c r="G1" s="191" t="str">
        <x:v>rmd</x:v>
      </x:c>
      <x:c r="H1" s="191" t="str">
        <x:v>qcd</x:v>
      </x:c>
      <x:c r="I1" s="191" t="str">
        <x:v>ira_spending_withdrawal</x:v>
      </x:c>
      <x:c r="J1" s="191" t="str">
        <x:v>ira_taxable_reinvestment</x:v>
      </x:c>
      <x:c r="K1" s="191" t="str">
        <x:v>roth_conversion_gross</x:v>
      </x:c>
      <x:c r="L1" s="191" t="str">
        <x:v>conversion_tax_federal</x:v>
      </x:c>
      <x:c r="M1" s="191" t="str">
        <x:v>conversion_tax_state</x:v>
      </x:c>
      <x:c r="N1" s="191" t="str">
        <x:v>conversion_tax_total</x:v>
      </x:c>
      <x:c r="O1" s="191" t="str">
        <x:v>conversion_tax_from_savings</x:v>
      </x:c>
      <x:c r="P1" s="191" t="str">
        <x:v>conversion_tax_from_taxable</x:v>
      </x:c>
      <x:c r="Q1" s="191" t="str">
        <x:v>conversion_tax_withheld</x:v>
      </x:c>
      <x:c r="R1" s="191" t="str">
        <x:v>conversion_tax_unfunded</x:v>
      </x:c>
      <x:c r="S1" s="191" t="str">
        <x:v>conversion_tax_fallback_used</x:v>
      </x:c>
      <x:c r="T1" s="191" t="str">
        <x:v>conversion_tax_funding_sequence</x:v>
      </x:c>
      <x:c r="U1" s="191" t="str">
        <x:v>roth_conversion_net_deposit</x:v>
      </x:c>
      <x:c r="V1" s="191" t="str">
        <x:v>total_ss</x:v>
      </x:c>
      <x:c r="W1" s="191" t="str">
        <x:v>ss_taxable</x:v>
      </x:c>
      <x:c r="X1" s="191" t="str">
        <x:v>agi</x:v>
      </x:c>
      <x:c r="Y1" s="191" t="str">
        <x:v>deductions</x:v>
      </x:c>
      <x:c r="Z1" s="191" t="str">
        <x:v>taxable_income</x:v>
      </x:c>
      <x:c r="AA1" s="191" t="str">
        <x:v>federal_tax</x:v>
      </x:c>
      <x:c r="AB1" s="191" t="str">
        <x:v>state_tax</x:v>
      </x:c>
      <x:c r="AC1" s="191" t="str">
        <x:v>irmaa</x:v>
      </x:c>
      <x:c r="AD1" s="191" t="str">
        <x:v>spending</x:v>
      </x:c>
      <x:c r="AE1" s="191" t="str">
        <x:v>cash_available_before_shortfall</x:v>
      </x:c>
      <x:c r="AF1" s="191" t="str">
        <x:v>cash_surplus</x:v>
      </x:c>
      <x:c r="AG1" s="191" t="str">
        <x:v>savings_withdrawal_for_spending</x:v>
      </x:c>
      <x:c r="AH1" s="191" t="str">
        <x:v>taxable_withdrawal_for_spending</x:v>
      </x:c>
      <x:c r="AI1" s="191" t="str">
        <x:v>additional_traditional_withdrawal</x:v>
      </x:c>
      <x:c r="AJ1" s="191" t="str">
        <x:v>traditional_balance</x:v>
      </x:c>
      <x:c r="AK1" s="191" t="str">
        <x:v>roth_balance</x:v>
      </x:c>
      <x:c r="AL1" s="191" t="str">
        <x:v>taxable_balance</x:v>
      </x:c>
      <x:c r="AM1" s="191" t="str">
        <x:v>savings_balance</x:v>
      </x:c>
      <x:c r="AN1" s="191" t="str">
        <x:v>total_portfolio</x:v>
      </x:c>
      <x:c r="AO1" s="191" t="str">
        <x:v>roth_conversion</x:v>
      </x:c>
    </x:row>
    <x:row r="2">
      <x:c r="A2" t="n">
        <x:v>2026</x:v>
      </x:c>
      <x:c r="B2" t="n">
        <x:v>68</x:v>
      </x:c>
      <x:c r="C2" t="n">
        <x:v>65</x:v>
      </x:c>
      <x:c r="D2" s="48" t="n">
        <x:v>34872.72</x:v>
      </x:c>
      <x:c r="E2" s="48" t="n">
        <x:v>0</x:v>
      </x:c>
      <x:c r="F2" s="48" t="n">
        <x:v>9593.4</x:v>
      </x:c>
      <x:c r="G2" s="48" t="n">
        <x:v>0</x:v>
      </x:c>
      <x:c r="H2" s="48" t="n">
        <x:v>0</x:v>
      </x:c>
      <x:c r="I2" s="48" t="n">
        <x:v>24000</x:v>
      </x:c>
      <x:c r="J2" s="48" t="n">
        <x:v>0</x:v>
      </x:c>
      <x:c r="K2" s="48" t="n">
        <x:v>50000</x:v>
      </x:c>
      <x:c r="L2" s="48" t="n">
        <x:v>7392.22544</x:v>
      </x:c>
      <x:c r="M2" s="48" t="n">
        <x:v>0</x:v>
      </x:c>
      <x:c r="N2" s="48" t="n">
        <x:v>7392.22544</x:v>
      </x:c>
      <x:c r="O2" s="48" t="n">
        <x:v>7392.22544</x:v>
      </x:c>
      <x:c r="P2" s="48" t="n">
        <x:v>0</x:v>
      </x:c>
      <x:c r="Q2" s="48" t="n">
        <x:v>0</x:v>
      </x:c>
      <x:c r="R2" s="48" t="n">
        <x:v>0</x:v>
      </x:c>
      <x:c r="S2" s="188" t="b">
        <x:v>0</x:v>
      </x:c>
      <x:c r="T2" s="48" t="str">
        <x:v>savings</x:v>
      </x:c>
      <x:c r="U2" s="48" t="n">
        <x:v>50000</x:v>
      </x:c>
      <x:c r="V2" s="48" t="n">
        <x:v>34872.72</x:v>
      </x:c>
      <x:c r="W2" s="48" t="n">
        <x:v>29641.812</x:v>
      </x:c>
      <x:c r="X2" s="48" t="n">
        <x:v>113235.212</x:v>
      </x:c>
      <x:c r="Y2" s="48" t="n">
        <x:v>47500</x:v>
      </x:c>
      <x:c r="Z2" s="48" t="n">
        <x:v>65735.212</x:v>
      </x:c>
      <x:c r="AA2" s="48" t="n">
        <x:v>7392.22544</x:v>
      </x:c>
      <x:c r="AB2" s="48" t="n">
        <x:v>0</x:v>
      </x:c>
      <x:c r="AC2" s="48" t="n">
        <x:v>0</x:v>
      </x:c>
      <x:c r="AD2" s="48" t="n">
        <x:v>85000</x:v>
      </x:c>
      <x:c r="AE2" s="48" t="n">
        <x:v>-16533.880000000005</x:v>
      </x:c>
      <x:c r="AF2" s="48" t="n">
        <x:v>0</x:v>
      </x:c>
      <x:c r="AG2" s="48" t="n">
        <x:v>16533.880000000005</x:v>
      </x:c>
      <x:c r="AH2" s="48" t="n">
        <x:v>0</x:v>
      </x:c>
      <x:c r="AI2" s="48" t="n">
        <x:v>0</x:v>
      </x:c>
      <x:c r="AJ2" s="48" t="n">
        <x:v>1632820</x:v>
      </x:c>
      <x:c r="AK2" s="48" t="n">
        <x:v>53500</x:v>
      </x:c>
      <x:c r="AL2" s="48" t="n">
        <x:v>157500</x:v>
      </x:c>
      <x:c r="AM2" s="48" t="n">
        <x:v>77595.3724512</x:v>
      </x:c>
      <x:c r="AN2" s="48" t="n">
        <x:v>1921415.3724512</x:v>
      </x:c>
      <x:c r="AO2" s="48" t="n">
        <x:v>50000</x:v>
      </x:c>
    </x:row>
    <x:row r="3">
      <x:c r="A3" t="n">
        <x:v>2027</x:v>
      </x:c>
      <x:c r="B3" t="n">
        <x:v>69</x:v>
      </x:c>
      <x:c r="C3" t="n">
        <x:v>66</x:v>
      </x:c>
      <x:c r="D3" s="48" t="n">
        <x:v>35744.538</x:v>
      </x:c>
      <x:c r="E3" s="48" t="n">
        <x:v>0</x:v>
      </x:c>
      <x:c r="F3" s="48" t="n">
        <x:v>9593.4</x:v>
      </x:c>
      <x:c r="G3" s="48" t="n">
        <x:v>0</x:v>
      </x:c>
      <x:c r="H3" s="48" t="n">
        <x:v>0</x:v>
      </x:c>
      <x:c r="I3" s="48" t="n">
        <x:v>24000</x:v>
      </x:c>
      <x:c r="J3" s="48" t="n">
        <x:v>0</x:v>
      </x:c>
      <x:c r="K3" s="48" t="n">
        <x:v>50000</x:v>
      </x:c>
      <x:c r="L3" s="48" t="n">
        <x:v>7481.150876</x:v>
      </x:c>
      <x:c r="M3" s="48" t="n">
        <x:v>0</x:v>
      </x:c>
      <x:c r="N3" s="48" t="n">
        <x:v>7481.150876</x:v>
      </x:c>
      <x:c r="O3" s="48" t="n">
        <x:v>7481.150876</x:v>
      </x:c>
      <x:c r="P3" s="48" t="n">
        <x:v>0</x:v>
      </x:c>
      <x:c r="Q3" s="48" t="n">
        <x:v>0</x:v>
      </x:c>
      <x:c r="R3" s="48" t="n">
        <x:v>0</x:v>
      </x:c>
      <x:c r="S3" s="188" t="b">
        <x:v>0</x:v>
      </x:c>
      <x:c r="T3" s="48" t="str">
        <x:v>savings</x:v>
      </x:c>
      <x:c r="U3" s="48" t="n">
        <x:v>50000</x:v>
      </x:c>
      <x:c r="V3" s="48" t="n">
        <x:v>35744.538</x:v>
      </x:c>
      <x:c r="W3" s="48" t="n">
        <x:v>30382.8573</x:v>
      </x:c>
      <x:c r="X3" s="48" t="n">
        <x:v>113976.2573</x:v>
      </x:c>
      <x:c r="Y3" s="48" t="n">
        <x:v>47500</x:v>
      </x:c>
      <x:c r="Z3" s="48" t="n">
        <x:v>66476.2573</x:v>
      </x:c>
      <x:c r="AA3" s="48" t="n">
        <x:v>7481.150876</x:v>
      </x:c>
      <x:c r="AB3" s="48" t="n">
        <x:v>0</x:v>
      </x:c>
      <x:c r="AC3" s="48" t="n">
        <x:v>0</x:v>
      </x:c>
      <x:c r="AD3" s="48" t="n">
        <x:v>87124.99999999999</x:v>
      </x:c>
      <x:c r="AE3" s="48" t="n">
        <x:v>-17787.06199999999</x:v>
      </x:c>
      <x:c r="AF3" s="48" t="n">
        <x:v>0</x:v>
      </x:c>
      <x:c r="AG3" s="48" t="n">
        <x:v>17787.06199999999</x:v>
      </x:c>
      <x:c r="AH3" s="48" t="n">
        <x:v>0</x:v>
      </x:c>
      <x:c r="AI3" s="48" t="n">
        <x:v>0</x:v>
      </x:c>
      <x:c r="AJ3" s="48" t="n">
        <x:v>1667937.4000000001</x:v>
      </x:c>
      <x:c r="AK3" s="48" t="n">
        <x:v>110745</x:v>
      </x:c>
      <x:c r="AL3" s="48" t="n">
        <x:v>165375</x:v>
      </x:c>
      <x:c r="AM3" s="48" t="n">
        <x:v>53373.70276670402</x:v>
      </x:c>
      <x:c r="AN3" s="48" t="n">
        <x:v>1997431.102766704</x:v>
      </x:c>
      <x:c r="AO3" s="48" t="n">
        <x:v>50000</x:v>
      </x:c>
    </x:row>
    <x:row r="4">
      <x:c r="A4" t="n">
        <x:v>2028</x:v>
      </x:c>
      <x:c r="B4" t="n">
        <x:v>70</x:v>
      </x:c>
      <x:c r="C4" t="n">
        <x:v>67</x:v>
      </x:c>
      <x:c r="D4" s="48" t="n">
        <x:v>36638.15145</x:v>
      </x:c>
      <x:c r="E4" s="48" t="n">
        <x:v>39024</x:v>
      </x:c>
      <x:c r="F4" s="48" t="n">
        <x:v>9593.4</x:v>
      </x:c>
      <x:c r="G4" s="48" t="n">
        <x:v>0</x:v>
      </x:c>
      <x:c r="H4" s="48" t="n">
        <x:v>0</x:v>
      </x:c>
      <x:c r="I4" s="48" t="n">
        <x:v>24000</x:v>
      </x:c>
      <x:c r="J4" s="48" t="n">
        <x:v>0</x:v>
      </x:c>
      <x:c r="K4" s="48" t="n">
        <x:v>50000</x:v>
      </x:c>
      <x:c r="L4" s="48" t="n">
        <x:v>10012.327011275</x:v>
      </x:c>
      <x:c r="M4" s="48" t="n">
        <x:v>0</x:v>
      </x:c>
      <x:c r="N4" s="48" t="n">
        <x:v>10012.327011275</x:v>
      </x:c>
      <x:c r="O4" s="48" t="n">
        <x:v>10012.327011275</x:v>
      </x:c>
      <x:c r="P4" s="48" t="n">
        <x:v>0</x:v>
      </x:c>
      <x:c r="Q4" s="48" t="n">
        <x:v>0</x:v>
      </x:c>
      <x:c r="R4" s="48" t="n">
        <x:v>0</x:v>
      </x:c>
      <x:c r="S4" s="188" t="b">
        <x:v>0</x:v>
      </x:c>
      <x:c r="T4" s="48" t="str">
        <x:v>savings</x:v>
      </x:c>
      <x:c r="U4" s="48" t="n">
        <x:v>50000</x:v>
      </x:c>
      <x:c r="V4" s="48" t="n">
        <x:v>75662.15145</x:v>
      </x:c>
      <x:c r="W4" s="48" t="n">
        <x:v>64312.828732500006</x:v>
      </x:c>
      <x:c r="X4" s="48" t="n">
        <x:v>147906.2287325</x:v>
      </x:c>
      <x:c r="Y4" s="48" t="n">
        <x:v>47500</x:v>
      </x:c>
      <x:c r="Z4" s="48" t="n">
        <x:v>100406.22873249999</x:v>
      </x:c>
      <x:c r="AA4" s="48" t="n">
        <x:v>11552.7474479</x:v>
      </x:c>
      <x:c r="AB4" s="48" t="n">
        <x:v>0</x:v>
      </x:c>
      <x:c r="AC4" s="48" t="n">
        <x:v>0</x:v>
      </x:c>
      <x:c r="AD4" s="48" t="n">
        <x:v>89303.125</x:v>
      </x:c>
      <x:c r="AE4" s="48" t="n">
        <x:v>18412.006013374994</x:v>
      </x:c>
      <x:c r="AF4" s="48" t="n">
        <x:v>18412.006013374994</x:v>
      </x:c>
      <x:c r="AG4" s="48" t="n">
        <x:v>0</x:v>
      </x:c>
      <x:c r="AH4" s="48" t="n">
        <x:v>0</x:v>
      </x:c>
      <x:c r="AI4" s="48" t="n">
        <x:v>0</x:v>
      </x:c>
      <x:c r="AJ4" s="48" t="n">
        <x:v>1705513.0180000002</x:v>
      </x:c>
      <x:c r="AK4" s="48" t="n">
        <x:v>171997.15000000002</x:v>
      </x:c>
      <x:c r="AL4" s="48" t="n">
        <x:v>173643.75</x:v>
      </x:c>
      <x:c r="AM4" s="48" t="n">
        <x:v>63008.849404180095</x:v>
      </x:c>
      <x:c r="AN4" s="48" t="n">
        <x:v>2114162.76740418</x:v>
      </x:c>
      <x:c r="AO4" s="48" t="n">
        <x:v>50000</x:v>
      </x:c>
    </x:row>
    <x:row r="5">
      <x:c r="A5" t="n">
        <x:v>2029</x:v>
      </x:c>
      <x:c r="B5" t="n">
        <x:v>71</x:v>
      </x:c>
      <x:c r="C5" t="n">
        <x:v>68</x:v>
      </x:c>
      <x:c r="D5" s="48" t="n">
        <x:v>37554.10523624999</x:v>
      </x:c>
      <x:c r="E5" s="48" t="n">
        <x:v>39999.6</x:v>
      </x:c>
      <x:c r="F5" s="48" t="n">
        <x:v>9593.4</x:v>
      </x:c>
      <x:c r="G5" s="48" t="n">
        <x:v>0</x:v>
      </x:c>
      <x:c r="H5" s="48" t="n">
        <x:v>0</x:v>
      </x:c>
      <x:c r="I5" s="48" t="n">
        <x:v>24000</x:v>
      </x:c>
      <x:c r="J5" s="48" t="n">
        <x:v>0</x:v>
      </x:c>
      <x:c r="K5" s="48" t="n">
        <x:v>50000</x:v>
      </x:c>
      <x:c r="L5" s="48" t="n">
        <x:v>10246.279406638121</x:v>
      </x:c>
      <x:c r="M5" s="48" t="n">
        <x:v>0</x:v>
      </x:c>
      <x:c r="N5" s="48" t="n">
        <x:v>10246.279406638121</x:v>
      </x:c>
      <x:c r="O5" s="48" t="n">
        <x:v>10246.279406638121</x:v>
      </x:c>
      <x:c r="P5" s="48" t="n">
        <x:v>0</x:v>
      </x:c>
      <x:c r="Q5" s="48" t="n">
        <x:v>0</x:v>
      </x:c>
      <x:c r="R5" s="48" t="n">
        <x:v>0</x:v>
      </x:c>
      <x:c r="S5" s="188" t="b">
        <x:v>0</x:v>
      </x:c>
      <x:c r="T5" s="48" t="str">
        <x:v>savings</x:v>
      </x:c>
      <x:c r="U5" s="48" t="n">
        <x:v>50000</x:v>
      </x:c>
      <x:c r="V5" s="48" t="n">
        <x:v>77553.70523624998</x:v>
      </x:c>
      <x:c r="W5" s="48" t="n">
        <x:v>65920.64945081249</x:v>
      </x:c>
      <x:c r="X5" s="48" t="n">
        <x:v>149514.04945081248</x:v>
      </x:c>
      <x:c r="Y5" s="48" t="n">
        <x:v>47500</x:v>
      </x:c>
      <x:c r="Z5" s="48" t="n">
        <x:v>102014.04945081248</x:v>
      </x:c>
      <x:c r="AA5" s="48" t="n">
        <x:v>11867.090879178746</x:v>
      </x:c>
      <x:c r="AB5" s="48" t="n">
        <x:v>0</x:v>
      </x:c>
      <x:c r="AC5" s="48" t="n">
        <x:v>0</x:v>
      </x:c>
      <x:c r="AD5" s="48" t="n">
        <x:v>91535.70312499997</x:v>
      </x:c>
      <x:c r="AE5" s="48" t="n">
        <x:v>17990.590638709386</x:v>
      </x:c>
      <x:c r="AF5" s="48" t="n">
        <x:v>17990.590638709386</x:v>
      </x:c>
      <x:c r="AG5" s="48" t="n">
        <x:v>0</x:v>
      </x:c>
      <x:c r="AH5" s="48" t="n">
        <x:v>0</x:v>
      </x:c>
      <x:c r="AI5" s="48" t="n">
        <x:v>0</x:v>
      </x:c>
      <x:c r="AJ5" s="48" t="n">
        <x:v>1745718.9292600004</x:v>
      </x:c>
      <x:c r="AK5" s="48" t="n">
        <x:v>237536.95050000004</x:v>
      </x:c>
      <x:c r="AL5" s="48" t="n">
        <x:v>182325.9375</x:v>
      </x:c>
      <x:c r="AM5" s="48" t="n">
        <x:v>72168.22384897638</x:v>
      </x:c>
      <x:c r="AN5" s="48" t="n">
        <x:v>2237750.0411089766</x:v>
      </x:c>
      <x:c r="AO5" s="48" t="n">
        <x:v>50000</x:v>
      </x:c>
    </x:row>
    <x:row r="6">
      <x:c r="A6" t="n">
        <x:v>2030</x:v>
      </x:c>
      <x:c r="B6" t="n">
        <x:v>72</x:v>
      </x:c>
      <x:c r="C6" t="n">
        <x:v>69</x:v>
      </x:c>
      <x:c r="D6" s="48" t="n">
        <x:v>38492.957867156234</x:v>
      </x:c>
      <x:c r="E6" s="48" t="n">
        <x:v>40999.59</x:v>
      </x:c>
      <x:c r="F6" s="48" t="n">
        <x:v>9593.4</x:v>
      </x:c>
      <x:c r="G6" s="48" t="n">
        <x:v>0</x:v>
      </x:c>
      <x:c r="H6" s="48" t="n">
        <x:v>0</x:v>
      </x:c>
      <x:c r="I6" s="48" t="n">
        <x:v>24000</x:v>
      </x:c>
      <x:c r="J6" s="48" t="n">
        <x:v>0</x:v>
      </x:c>
      <x:c r="K6" s="48" t="n">
        <x:v>50000</x:v>
      </x:c>
      <x:c r="L6" s="48" t="n">
        <x:v>10557.120700943062</x:v>
      </x:c>
      <x:c r="M6" s="48" t="n">
        <x:v>0</x:v>
      </x:c>
      <x:c r="N6" s="48" t="n">
        <x:v>10557.120700943062</x:v>
      </x:c>
      <x:c r="O6" s="48" t="n">
        <x:v>10557.120700943062</x:v>
      </x:c>
      <x:c r="P6" s="48" t="n">
        <x:v>0</x:v>
      </x:c>
      <x:c r="Q6" s="48" t="n">
        <x:v>0</x:v>
      </x:c>
      <x:c r="R6" s="48" t="n">
        <x:v>0</x:v>
      </x:c>
      <x:c r="S6" s="188" t="b">
        <x:v>0</x:v>
      </x:c>
      <x:c r="T6" s="48" t="str">
        <x:v>savings</x:v>
      </x:c>
      <x:c r="U6" s="48" t="n">
        <x:v>50000</x:v>
      </x:c>
      <x:c r="V6" s="48" t="n">
        <x:v>79492.54786715623</x:v>
      </x:c>
      <x:c r="W6" s="48" t="n">
        <x:v>67568.6656870828</x:v>
      </x:c>
      <x:c r="X6" s="48" t="n">
        <x:v>151162.0656870828</x:v>
      </x:c>
      <x:c r="Y6" s="48" t="n">
        <x:v>47360.55211755006</x:v>
      </x:c>
      <x:c r="Z6" s="48" t="n">
        <x:v>103801.51356953273</x:v>
      </x:c>
      <x:c r="AA6" s="48" t="n">
        <x:v>12260.332985297202</x:v>
      </x:c>
      <x:c r="AB6" s="48" t="n">
        <x:v>0</x:v>
      </x:c>
      <x:c r="AC6" s="48" t="n">
        <x:v>0</x:v>
      </x:c>
      <x:c r="AD6" s="48" t="n">
        <x:v>93824.09570312496</x:v>
      </x:c>
      <x:c r="AE6" s="48" t="n">
        <x:v>17558.639879677125</x:v>
      </x:c>
      <x:c r="AF6" s="48" t="n">
        <x:v>17558.639879677125</x:v>
      </x:c>
      <x:c r="AG6" s="48" t="n">
        <x:v>0</x:v>
      </x:c>
      <x:c r="AH6" s="48" t="n">
        <x:v>0</x:v>
      </x:c>
      <x:c r="AI6" s="48" t="n">
        <x:v>0</x:v>
      </x:c>
      <x:c r="AJ6" s="48" t="n">
        <x:v>1788739.2543082004</x:v>
      </x:c>
      <x:c r="AK6" s="48" t="n">
        <x:v>307664.53703500004</x:v>
      </x:c>
      <x:c r="AL6" s="48" t="n">
        <x:v>191442.234375</x:v>
      </x:c>
      <x:c r="AM6" s="48" t="n">
        <x:v>80753.13788826465</x:v>
      </x:c>
      <x:c r="AN6" s="48" t="n">
        <x:v>2368599.1636064653</x:v>
      </x:c>
      <x:c r="AO6" s="48" t="n">
        <x:v>50000</x:v>
      </x:c>
    </x:row>
    <x:row r="7">
      <x:c r="A7" t="n">
        <x:v>2031</x:v>
      </x:c>
      <x:c r="B7" t="n">
        <x:v>73</x:v>
      </x:c>
      <x:c r="C7" t="n">
        <x:v>70</x:v>
      </x:c>
      <x:c r="D7" s="48" t="n">
        <x:v>39455.281813835136</x:v>
      </x:c>
      <x:c r="E7" s="48" t="n">
        <x:v>42024.57974999999</x:v>
      </x:c>
      <x:c r="F7" s="48" t="n">
        <x:v>9593.4</x:v>
      </x:c>
      <x:c r="G7" s="48" t="n">
        <x:v>67499.59450219624</x:v>
      </x:c>
      <x:c r="H7" s="48" t="n">
        <x:v>0</x:v>
      </x:c>
      <x:c r="I7" s="48" t="n">
        <x:v>24000</x:v>
      </x:c>
      <x:c r="J7" s="48" t="n">
        <x:v>0</x:v>
      </x:c>
      <x:c r="K7" s="48" t="n">
        <x:v>50000</x:v>
      </x:c>
      <x:c r="L7" s="48" t="n">
        <x:v>12320</x:v>
      </x:c>
      <x:c r="M7" s="48" t="n">
        <x:v>0</x:v>
      </x:c>
      <x:c r="N7" s="48" t="n">
        <x:v>12320</x:v>
      </x:c>
      <x:c r="O7" s="48" t="n">
        <x:v>12320</x:v>
      </x:c>
      <x:c r="P7" s="48" t="n">
        <x:v>0</x:v>
      </x:c>
      <x:c r="Q7" s="48" t="n">
        <x:v>0</x:v>
      </x:c>
      <x:c r="R7" s="48" t="n">
        <x:v>0</x:v>
      </x:c>
      <x:c r="S7" s="188" t="b">
        <x:v>0</x:v>
      </x:c>
      <x:c r="T7" s="48" t="str">
        <x:v>savings</x:v>
      </x:c>
      <x:c r="U7" s="48" t="n">
        <x:v>50000</x:v>
      </x:c>
      <x:c r="V7" s="48" t="n">
        <x:v>81479.86156383512</x:v>
      </x:c>
      <x:c r="W7" s="48" t="n">
        <x:v>69257.88232925985</x:v>
      </x:c>
      <x:c r="X7" s="48" t="n">
        <x:v>220350.8768314561</x:v>
      </x:c>
      <x:c r="Y7" s="48" t="n">
        <x:v>39057.894780225266</x:v>
      </x:c>
      <x:c r="Z7" s="48" t="n">
        <x:v>181292.98205123082</x:v>
      </x:c>
      <x:c r="AA7" s="48" t="n">
        <x:v>29308.45605127078</x:v>
      </x:c>
      <x:c r="AB7" s="48" t="n">
        <x:v>0</x:v>
      </x:c>
      <x:c r="AC7" s="48" t="n">
        <x:v>2222.4</x:v>
      </x:c>
      <x:c r="AD7" s="48" t="n">
        <x:v>96169.69809570308</x:v>
      </x:c>
      <x:c r="AE7" s="48" t="n">
        <x:v>67192.30191905751</x:v>
      </x:c>
      <x:c r="AF7" s="48" t="n">
        <x:v>67192.30191905751</x:v>
      </x:c>
      <x:c r="AG7" s="48" t="n">
        <x:v>0</x:v>
      </x:c>
      <x:c r="AH7" s="48" t="n">
        <x:v>0</x:v>
      </x:c>
      <x:c r="AI7" s="48" t="n">
        <x:v>0</x:v>
      </x:c>
      <x:c r="AJ7" s="48" t="n">
        <x:v>1762546.4359924246</x:v>
      </x:c>
      <x:c r="AK7" s="48" t="n">
        <x:v>382701.05462745007</x:v>
      </x:c>
      <x:c r="AL7" s="48" t="n">
        <x:v>201014.34609375</x:v>
      </x:c>
      <x:c r="AM7" s="48" t="n">
        <x:v>138337.94860346863</x:v>
      </x:c>
      <x:c r="AN7" s="48" t="n">
        <x:v>2484599.785317093</x:v>
      </x:c>
      <x:c r="AO7" s="48" t="n">
        <x:v>50000</x:v>
      </x:c>
    </x:row>
    <x:row r="8">
      <x:c r="A8" t="n">
        <x:v>2032</x:v>
      </x:c>
      <x:c r="B8" t="n">
        <x:v>74</x:v>
      </x:c>
      <x:c r="C8" t="n">
        <x:v>71</x:v>
      </x:c>
      <x:c r="D8" s="48" t="n">
        <x:v>40441.66385918101</x:v>
      </x:c>
      <x:c r="E8" s="48" t="n">
        <x:v>43075.19424374998</x:v>
      </x:c>
      <x:c r="F8" s="48" t="n">
        <x:v>9593.4</x:v>
      </x:c>
      <x:c r="G8" s="48" t="n">
        <x:v>69119.4680781343</x:v>
      </x:c>
      <x:c r="H8" s="48" t="n">
        <x:v>0</x:v>
      </x:c>
      <x:c r="I8" s="48" t="n">
        <x:v>24000</x:v>
      </x:c>
      <x:c r="J8" s="48" t="n">
        <x:v>0</x:v>
      </x:c>
      <x:c r="K8" s="48" t="n">
        <x:v>0</x:v>
      </x:c>
      <x:c r="L8" s="48" t="n">
        <x:v>0</x:v>
      </x:c>
      <x:c r="M8" s="48" t="n">
        <x:v>0</x:v>
      </x:c>
      <x:c r="N8" s="48" t="n">
        <x:v>0</x:v>
      </x:c>
      <x:c r="O8" s="48" t="n">
        <x:v>0</x:v>
      </x:c>
      <x:c r="P8" s="48" t="n">
        <x:v>0</x:v>
      </x:c>
      <x:c r="Q8" s="48" t="n">
        <x:v>0</x:v>
      </x:c>
      <x:c r="R8" s="48" t="n">
        <x:v>0</x:v>
      </x:c>
      <x:c r="S8" s="188" t="b">
        <x:v>0</x:v>
      </x:c>
      <x:c r="T8" s="48" t="str"/>
      <x:c r="U8" s="48" t="n">
        <x:v>0</x:v>
      </x:c>
      <x:c r="V8" s="48" t="n">
        <x:v>83516.858102931</x:v>
      </x:c>
      <x:c r="W8" s="48" t="n">
        <x:v>70989.32938749135</x:v>
      </x:c>
      <x:c r="X8" s="48" t="n">
        <x:v>173702.19746562565</x:v>
      </x:c>
      <x:c r="Y8" s="48" t="n">
        <x:v>44655.73630412492</x:v>
      </x:c>
      <x:c r="Z8" s="48" t="n">
        <x:v>129046.46116150073</x:v>
      </x:c>
      <x:c r="AA8" s="48" t="n">
        <x:v>17814.22145553016</x:v>
      </x:c>
      <x:c r="AB8" s="48" t="n">
        <x:v>0</x:v>
      </x:c>
      <x:c r="AC8" s="48" t="n">
        <x:v>0</x:v>
      </x:c>
      <x:c r="AD8" s="48" t="n">
        <x:v>98573.94054809565</x:v>
      </x:c>
      <x:c r="AE8" s="48" t="n">
        <x:v>69841.56417743952</x:v>
      </x:c>
      <x:c r="AF8" s="48" t="n">
        <x:v>69841.56417743952</x:v>
      </x:c>
      <x:c r="AG8" s="48" t="n">
        <x:v>0</x:v>
      </x:c>
      <x:c r="AH8" s="48" t="n">
        <x:v>0</x:v>
      </x:c>
      <x:c r="AI8" s="48" t="n">
        <x:v>0</x:v>
      </x:c>
      <x:c r="AJ8" s="48" t="n">
        <x:v>1786286.8556682908</x:v>
      </x:c>
      <x:c r="AK8" s="48" t="n">
        <x:v>409490.1284513716</x:v>
      </x:c>
      <x:c r="AL8" s="48" t="n">
        <x:v>211065.06339843752</x:v>
      </x:c>
      <x:c r="AM8" s="48" t="n">
        <x:v>212343.1030365263</x:v>
      </x:c>
      <x:c r="AN8" s="48" t="n">
        <x:v>2619185.1505546262</x:v>
      </x:c>
      <x:c r="AO8" s="48" t="n">
        <x:v>0</x:v>
      </x:c>
    </x:row>
    <x:row r="9">
      <x:c r="A9" t="n">
        <x:v>2033</x:v>
      </x:c>
      <x:c r="B9" t="n">
        <x:v>75</x:v>
      </x:c>
      <x:c r="C9" t="n">
        <x:v>72</x:v>
      </x:c>
      <x:c r="D9" s="48" t="n">
        <x:v>41452.70545566054</x:v>
      </x:c>
      <x:c r="E9" s="48" t="n">
        <x:v>44152.074099843725</x:v>
      </x:c>
      <x:c r="F9" s="48" t="n">
        <x:v>9593.4</x:v>
      </x:c>
      <x:c r="G9" s="48" t="n">
        <x:v>72613.28681578417</x:v>
      </x:c>
      <x:c r="H9" s="48" t="n">
        <x:v>0</x:v>
      </x:c>
      <x:c r="I9" s="48" t="n">
        <x:v>24000</x:v>
      </x:c>
      <x:c r="J9" s="48" t="n">
        <x:v>0</x:v>
      </x:c>
      <x:c r="K9" s="48" t="n">
        <x:v>0</x:v>
      </x:c>
      <x:c r="L9" s="48" t="n">
        <x:v>0</x:v>
      </x:c>
      <x:c r="M9" s="48" t="n">
        <x:v>0</x:v>
      </x:c>
      <x:c r="N9" s="48" t="n">
        <x:v>0</x:v>
      </x:c>
      <x:c r="O9" s="48" t="n">
        <x:v>0</x:v>
      </x:c>
      <x:c r="P9" s="48" t="n">
        <x:v>0</x:v>
      </x:c>
      <x:c r="Q9" s="48" t="n">
        <x:v>0</x:v>
      </x:c>
      <x:c r="R9" s="48" t="n">
        <x:v>0</x:v>
      </x:c>
      <x:c r="S9" s="188" t="b">
        <x:v>0</x:v>
      </x:c>
      <x:c r="T9" s="48" t="str"/>
      <x:c r="U9" s="48" t="n">
        <x:v>0</x:v>
      </x:c>
      <x:c r="V9" s="48" t="n">
        <x:v>85604.77955550427</x:v>
      </x:c>
      <x:c r="W9" s="48" t="n">
        <x:v>72764.06262217862</x:v>
      </x:c>
      <x:c r="X9" s="48" t="n">
        <x:v>178970.74943796278</x:v>
      </x:c>
      <x:c r="Y9" s="48" t="n">
        <x:v>44023.51006744447</x:v>
      </x:c>
      <x:c r="Z9" s="48" t="n">
        <x:v>134947.2393705183</x:v>
      </x:c>
      <x:c r="AA9" s="48" t="n">
        <x:v>19112.392661514026</x:v>
      </x:c>
      <x:c r="AB9" s="48" t="n">
        <x:v>0</x:v>
      </x:c>
      <x:c r="AC9" s="48" t="n">
        <x:v>0</x:v>
      </x:c>
      <x:c r="AD9" s="48" t="n">
        <x:v>101038.28906179804</x:v>
      </x:c>
      <x:c r="AE9" s="48" t="n">
        <x:v>71660.78464797637</x:v>
      </x:c>
      <x:c r="AF9" s="48" t="n">
        <x:v>71660.78464797637</x:v>
      </x:c>
      <x:c r="AG9" s="48" t="n">
        <x:v>0</x:v>
      </x:c>
      <x:c r="AH9" s="48" t="n">
        <x:v>0</x:v>
      </x:c>
      <x:c r="AI9" s="48" t="n">
        <x:v>0</x:v>
      </x:c>
      <x:c r="AJ9" s="48" t="n">
        <x:v>1807950.7186721822</x:v>
      </x:c>
      <x:c r="AK9" s="48" t="n">
        <x:v>438154.43744296767</x:v>
      </x:c>
      <x:c r="AL9" s="48" t="n">
        <x:v>221618.3165683594</x:v>
      </x:c>
      <x:c r="AM9" s="48" t="n">
        <x:v>289683.9654381927</x:v>
      </x:c>
      <x:c r="AN9" s="48" t="n">
        <x:v>2757407.438121702</x:v>
      </x:c>
      <x:c r="AO9" s="48" t="n">
        <x:v>0</x:v>
      </x:c>
    </x:row>
    <x:row r="10">
      <x:c r="A10" t="n">
        <x:v>2034</x:v>
      </x:c>
      <x:c r="B10" t="n">
        <x:v>76</x:v>
      </x:c>
      <x:c r="C10" t="n">
        <x:v>73</x:v>
      </x:c>
      <x:c r="D10" s="48" t="n">
        <x:v>42489.02309205204</x:v>
      </x:c>
      <x:c r="E10" s="48" t="n">
        <x:v>45255.87595233982</x:v>
      </x:c>
      <x:c r="F10" s="48" t="n">
        <x:v>9593.4</x:v>
      </x:c>
      <x:c r="G10" s="48" t="n">
        <x:v>76284.84045030305</x:v>
      </x:c>
      <x:c r="H10" s="48" t="n">
        <x:v>0</x:v>
      </x:c>
      <x:c r="I10" s="48" t="n">
        <x:v>24000</x:v>
      </x:c>
      <x:c r="J10" s="48" t="n">
        <x:v>0</x:v>
      </x:c>
      <x:c r="K10" s="48" t="n">
        <x:v>0</x:v>
      </x:c>
      <x:c r="L10" s="48" t="n">
        <x:v>0</x:v>
      </x:c>
      <x:c r="M10" s="48" t="n">
        <x:v>0</x:v>
      </x:c>
      <x:c r="N10" s="48" t="n">
        <x:v>0</x:v>
      </x:c>
      <x:c r="O10" s="48" t="n">
        <x:v>0</x:v>
      </x:c>
      <x:c r="P10" s="48" t="n">
        <x:v>0</x:v>
      </x:c>
      <x:c r="Q10" s="48" t="n">
        <x:v>0</x:v>
      </x:c>
      <x:c r="R10" s="48" t="n">
        <x:v>0</x:v>
      </x:c>
      <x:c r="S10" s="188" t="b">
        <x:v>0</x:v>
      </x:c>
      <x:c r="T10" s="48" t="str"/>
      <x:c r="U10" s="48" t="n">
        <x:v>0</x:v>
      </x:c>
      <x:c r="V10" s="48" t="n">
        <x:v>87744.89904439186</x:v>
      </x:c>
      <x:c r="W10" s="48" t="n">
        <x:v>74583.16418773308</x:v>
      </x:c>
      <x:c r="X10" s="48" t="n">
        <x:v>184461.40463803613</x:v>
      </x:c>
      <x:c r="Y10" s="48" t="n">
        <x:v>43364.63144343566</x:v>
      </x:c>
      <x:c r="Z10" s="48" t="n">
        <x:v>141096.77319460048</x:v>
      </x:c>
      <x:c r="AA10" s="48" t="n">
        <x:v>20465.290102812105</x:v>
      </x:c>
      <x:c r="AB10" s="48" t="n">
        <x:v>0</x:v>
      </x:c>
      <x:c r="AC10" s="48" t="n">
        <x:v>0</x:v>
      </x:c>
      <x:c r="AD10" s="48" t="n">
        <x:v>103564.24628834297</x:v>
      </x:c>
      <x:c r="AE10" s="48" t="n">
        <x:v>73593.6031035398</x:v>
      </x:c>
      <x:c r="AF10" s="48" t="n">
        <x:v>73593.6031035398</x:v>
      </x:c>
      <x:c r="AG10" s="48" t="n">
        <x:v>0</x:v>
      </x:c>
      <x:c r="AH10" s="48" t="n">
        <x:v>0</x:v>
      </x:c>
      <x:c r="AI10" s="48" t="n">
        <x:v>0</x:v>
      </x:c>
      <x:c r="AJ10" s="48" t="n">
        <x:v>1827202.489697411</x:v>
      </x:c>
      <x:c r="AK10" s="48" t="n">
        <x:v>468825.2480639754</x:v>
      </x:c>
      <x:c r="AL10" s="48" t="n">
        <x:v>232699.2323967774</x:v>
      </x:c>
      <x:c r="AM10" s="48" t="n">
        <x:v>370543.11991256714</x:v>
      </x:c>
      <x:c r="AN10" s="48" t="n">
        <x:v>2899270.0900707305</x:v>
      </x:c>
      <x:c r="AO10" s="48" t="n">
        <x:v>0</x:v>
      </x:c>
    </x:row>
    <x:row r="11">
      <x:c r="A11" t="n">
        <x:v>2035</x:v>
      </x:c>
      <x:c r="B11" t="n">
        <x:v>77</x:v>
      </x:c>
      <x:c r="C11" t="n">
        <x:v>74</x:v>
      </x:c>
      <x:c r="D11" s="48" t="n">
        <x:v>43551.24866935334</x:v>
      </x:c>
      <x:c r="E11" s="48" t="n">
        <x:v>46387.272851148315</x:v>
      </x:c>
      <x:c r="F11" s="48" t="n">
        <x:v>9593.4</x:v>
      </x:c>
      <x:c r="G11" s="48" t="n">
        <x:v>79790.5017335114</x:v>
      </x:c>
      <x:c r="H11" s="48" t="n">
        <x:v>0</x:v>
      </x:c>
      <x:c r="I11" s="48" t="n">
        <x:v>24000</x:v>
      </x:c>
      <x:c r="J11" s="48" t="n">
        <x:v>0</x:v>
      </x:c>
      <x:c r="K11" s="48" t="n">
        <x:v>0</x:v>
      </x:c>
      <x:c r="L11" s="48" t="n">
        <x:v>0</x:v>
      </x:c>
      <x:c r="M11" s="48" t="n">
        <x:v>0</x:v>
      </x:c>
      <x:c r="N11" s="48" t="n">
        <x:v>0</x:v>
      </x:c>
      <x:c r="O11" s="48" t="n">
        <x:v>0</x:v>
      </x:c>
      <x:c r="P11" s="48" t="n">
        <x:v>0</x:v>
      </x:c>
      <x:c r="Q11" s="48" t="n">
        <x:v>0</x:v>
      </x:c>
      <x:c r="R11" s="48" t="n">
        <x:v>0</x:v>
      </x:c>
      <x:c r="S11" s="188" t="b">
        <x:v>0</x:v>
      </x:c>
      <x:c r="T11" s="48" t="str"/>
      <x:c r="U11" s="48" t="n">
        <x:v>0</x:v>
      </x:c>
      <x:c r="V11" s="48" t="n">
        <x:v>89938.52152050166</x:v>
      </x:c>
      <x:c r="W11" s="48" t="n">
        <x:v>76447.74329242641</x:v>
      </x:c>
      <x:c r="X11" s="48" t="n">
        <x:v>189831.64502593782</x:v>
      </x:c>
      <x:c r="Y11" s="48" t="n">
        <x:v>42720.20259688746</x:v>
      </x:c>
      <x:c r="Z11" s="48" t="n">
        <x:v>147111.44242905037</x:v>
      </x:c>
      <x:c r="AA11" s="48" t="n">
        <x:v>21788.51733439108</x:v>
      </x:c>
      <x:c r="AB11" s="48" t="n">
        <x:v>0</x:v>
      </x:c>
      <x:c r="AC11" s="48" t="n">
        <x:v>0</x:v>
      </x:c>
      <x:c r="AD11" s="48" t="n">
        <x:v>106153.35244555154</x:v>
      </x:c>
      <x:c r="AE11" s="48" t="n">
        <x:v>75380.55347407045</x:v>
      </x:c>
      <x:c r="AF11" s="48" t="n">
        <x:v>75380.55347407045</x:v>
      </x:c>
      <x:c r="AG11" s="48" t="n">
        <x:v>0</x:v>
      </x:c>
      <x:c r="AH11" s="48" t="n">
        <x:v>0</x:v>
      </x:c>
      <x:c r="AI11" s="48" t="n">
        <x:v>0</x:v>
      </x:c>
      <x:c r="AJ11" s="48" t="n">
        <x:v>1844050.8271213726</x:v>
      </x:c>
      <x:c r="AK11" s="48" t="n">
        <x:v>501643.01542845374</x:v>
      </x:c>
      <x:c r="AL11" s="48" t="n">
        <x:v>244334.19401661627</x:v>
      </x:c>
      <x:c r="AM11" s="48" t="n">
        <x:v>454842.14685437037</x:v>
      </x:c>
      <x:c r="AN11" s="48" t="n">
        <x:v>3044870.183420813</x:v>
      </x:c>
      <x:c r="AO11" s="48" t="n">
        <x:v>0</x:v>
      </x:c>
    </x:row>
    <x:row r="12">
      <x:c r="A12" t="n">
        <x:v>2036</x:v>
      </x:c>
      <x:c r="B12" t="n">
        <x:v>78</x:v>
      </x:c>
      <x:c r="C12" t="n">
        <x:v>75</x:v>
      </x:c>
      <x:c r="D12" s="48" t="n">
        <x:v>44640.02988608717</x:v>
      </x:c>
      <x:c r="E12" s="48" t="n">
        <x:v>47546.95467242701</x:v>
      </x:c>
      <x:c r="F12" s="48" t="n">
        <x:v>9593.4</x:v>
      </x:c>
      <x:c r="G12" s="48" t="n">
        <x:v>83820.49214188058</x:v>
      </x:c>
      <x:c r="H12" s="48" t="n">
        <x:v>0</x:v>
      </x:c>
      <x:c r="I12" s="48" t="n">
        <x:v>24000</x:v>
      </x:c>
      <x:c r="J12" s="48" t="n">
        <x:v>0</x:v>
      </x:c>
      <x:c r="K12" s="48" t="n">
        <x:v>0</x:v>
      </x:c>
      <x:c r="L12" s="48" t="n">
        <x:v>0</x:v>
      </x:c>
      <x:c r="M12" s="48" t="n">
        <x:v>0</x:v>
      </x:c>
      <x:c r="N12" s="48" t="n">
        <x:v>0</x:v>
      </x:c>
      <x:c r="O12" s="48" t="n">
        <x:v>0</x:v>
      </x:c>
      <x:c r="P12" s="48" t="n">
        <x:v>0</x:v>
      </x:c>
      <x:c r="Q12" s="48" t="n">
        <x:v>0</x:v>
      </x:c>
      <x:c r="R12" s="48" t="n">
        <x:v>0</x:v>
      </x:c>
      <x:c r="S12" s="188" t="b">
        <x:v>0</x:v>
      </x:c>
      <x:c r="T12" s="48" t="str"/>
      <x:c r="U12" s="48" t="n">
        <x:v>0</x:v>
      </x:c>
      <x:c r="V12" s="48" t="n">
        <x:v>92186.98455851417</x:v>
      </x:c>
      <x:c r="W12" s="48" t="n">
        <x:v>78358.93687473705</x:v>
      </x:c>
      <x:c r="X12" s="48" t="n">
        <x:v>195772.82901661762</x:v>
      </x:c>
      <x:c r="Y12" s="48" t="n">
        <x:v>42007.26051800589</x:v>
      </x:c>
      <x:c r="Z12" s="48" t="n">
        <x:v>153765.56849861174</x:v>
      </x:c>
      <x:c r="AA12" s="48" t="n">
        <x:v>23252.425069694582</x:v>
      </x:c>
      <x:c r="AB12" s="48" t="n">
        <x:v>0</x:v>
      </x:c>
      <x:c r="AC12" s="48" t="n">
        <x:v>0</x:v>
      </x:c>
      <x:c r="AD12" s="48" t="n">
        <x:v>108807.18625669031</x:v>
      </x:c>
      <x:c r="AE12" s="48" t="n">
        <x:v>77541.26537400983</x:v>
      </x:c>
      <x:c r="AF12" s="48" t="n">
        <x:v>77541.26537400983</x:v>
      </x:c>
      <x:c r="AG12" s="48" t="n">
        <x:v>0</x:v>
      </x:c>
      <x:c r="AH12" s="48" t="n">
        <x:v>0</x:v>
      </x:c>
      <x:c r="AI12" s="48" t="n">
        <x:v>0</x:v>
      </x:c>
      <x:c r="AJ12" s="48" t="n">
        <x:v>1857766.4584280564</x:v>
      </x:c>
      <x:c r="AK12" s="48" t="n">
        <x:v>536758.0265084455</x:v>
      </x:c>
      <x:c r="AL12" s="48" t="n">
        <x:v>256550.9037174471</x:v>
      </x:c>
      <x:c r="AM12" s="48" t="n">
        <x:v>543031.0804729478</x:v>
      </x:c>
      <x:c r="AN12" s="48" t="n">
        <x:v>3194106.469126897</x:v>
      </x:c>
      <x:c r="AO12" s="48" t="n">
        <x:v>0</x:v>
      </x:c>
    </x:row>
    <x:row r="13">
      <x:c r="A13" t="n">
        <x:v>2037</x:v>
      </x:c>
      <x:c r="B13" t="n">
        <x:v>79</x:v>
      </x:c>
      <x:c r="C13" t="n">
        <x:v>76</x:v>
      </x:c>
      <x:c r="D13" s="48" t="n">
        <x:v>45756.03063323935</x:v>
      </x:c>
      <x:c r="E13" s="48" t="n">
        <x:v>48735.62853923769</x:v>
      </x:c>
      <x:c r="F13" s="48" t="n">
        <x:v>9593.4</x:v>
      </x:c>
      <x:c r="G13" s="48" t="n">
        <x:v>88045.80371696949</x:v>
      </x:c>
      <x:c r="H13" s="48" t="n">
        <x:v>0</x:v>
      </x:c>
      <x:c r="I13" s="48" t="n">
        <x:v>24000</x:v>
      </x:c>
      <x:c r="J13" s="48" t="n">
        <x:v>0</x:v>
      </x:c>
      <x:c r="K13" s="48" t="n">
        <x:v>0</x:v>
      </x:c>
      <x:c r="L13" s="48" t="n">
        <x:v>0</x:v>
      </x:c>
      <x:c r="M13" s="48" t="n">
        <x:v>0</x:v>
      </x:c>
      <x:c r="N13" s="48" t="n">
        <x:v>0</x:v>
      </x:c>
      <x:c r="O13" s="48" t="n">
        <x:v>0</x:v>
      </x:c>
      <x:c r="P13" s="48" t="n">
        <x:v>0</x:v>
      </x:c>
      <x:c r="Q13" s="48" t="n">
        <x:v>0</x:v>
      </x:c>
      <x:c r="R13" s="48" t="n">
        <x:v>0</x:v>
      </x:c>
      <x:c r="S13" s="188" t="b">
        <x:v>0</x:v>
      </x:c>
      <x:c r="T13" s="48" t="str"/>
      <x:c r="U13" s="48" t="n">
        <x:v>0</x:v>
      </x:c>
      <x:c r="V13" s="48" t="n">
        <x:v>94491.65917247704</x:v>
      </x:c>
      <x:c r="W13" s="48" t="n">
        <x:v>80317.91029660548</x:v>
      </x:c>
      <x:c r="X13" s="48" t="n">
        <x:v>201957.11401357496</x:v>
      </x:c>
      <x:c r="Y13" s="48" t="n">
        <x:v>41265.14631837101</x:v>
      </x:c>
      <x:c r="Z13" s="48" t="n">
        <x:v>160691.96769520396</x:v>
      </x:c>
      <x:c r="AA13" s="48" t="n">
        <x:v>24776.23289294487</x:v>
      </x:c>
      <x:c r="AB13" s="48" t="n">
        <x:v>0</x:v>
      </x:c>
      <x:c r="AC13" s="48" t="n">
        <x:v>0</x:v>
      </x:c>
      <x:c r="AD13" s="48" t="n">
        <x:v>111527.36591310757</x:v>
      </x:c>
      <x:c r="AE13" s="48" t="n">
        <x:v>79827.2640833941</x:v>
      </x:c>
      <x:c r="AF13" s="48" t="n">
        <x:v>79827.2640833941</x:v>
      </x:c>
      <x:c r="AG13" s="48" t="n">
        <x:v>0</x:v>
      </x:c>
      <x:c r="AH13" s="48" t="n">
        <x:v>0</x:v>
      </x:c>
      <x:c r="AI13" s="48" t="n">
        <x:v>0</x:v>
      </x:c>
      <x:c r="AJ13" s="48" t="n">
        <x:v>1867921.1005408631</x:v>
      </x:c>
      <x:c r="AK13" s="48" t="n">
        <x:v>574331.0883640368</x:v>
      </x:c>
      <x:c r="AL13" s="48" t="n">
        <x:v>269378.4489033195</x:v>
      </x:c>
      <x:c r="AM13" s="48" t="n">
        <x:v>635315.5114474688</x:v>
      </x:c>
      <x:c r="AN13" s="48" t="n">
        <x:v>3346946.1492556883</x:v>
      </x:c>
      <x:c r="AO13" s="48" t="n">
        <x:v>0</x:v>
      </x:c>
    </x:row>
    <x:row r="14">
      <x:c r="A14" t="n">
        <x:v>2038</x:v>
      </x:c>
      <x:c r="B14" t="n">
        <x:v>80</x:v>
      </x:c>
      <x:c r="C14" t="n">
        <x:v>77</x:v>
      </x:c>
      <x:c r="D14" s="48" t="n">
        <x:v>46899.93139907033</x:v>
      </x:c>
      <x:c r="E14" s="48" t="n">
        <x:v>49954.01925271862</x:v>
      </x:c>
      <x:c r="F14" s="48" t="n">
        <x:v>9593.4</x:v>
      </x:c>
      <x:c r="G14" s="48" t="n">
        <x:v>92471.34161093381</x:v>
      </x:c>
      <x:c r="H14" s="48" t="n">
        <x:v>0</x:v>
      </x:c>
      <x:c r="I14" s="48" t="n">
        <x:v>24000</x:v>
      </x:c>
      <x:c r="J14" s="48" t="n">
        <x:v>0</x:v>
      </x:c>
      <x:c r="K14" s="48" t="n">
        <x:v>0</x:v>
      </x:c>
      <x:c r="L14" s="48" t="n">
        <x:v>0</x:v>
      </x:c>
      <x:c r="M14" s="48" t="n">
        <x:v>0</x:v>
      </x:c>
      <x:c r="N14" s="48" t="n">
        <x:v>0</x:v>
      </x:c>
      <x:c r="O14" s="48" t="n">
        <x:v>0</x:v>
      </x:c>
      <x:c r="P14" s="48" t="n">
        <x:v>0</x:v>
      </x:c>
      <x:c r="Q14" s="48" t="n">
        <x:v>0</x:v>
      </x:c>
      <x:c r="R14" s="48" t="n">
        <x:v>0</x:v>
      </x:c>
      <x:c r="S14" s="188" t="b">
        <x:v>0</x:v>
      </x:c>
      <x:c r="T14" s="48" t="str"/>
      <x:c r="U14" s="48" t="n">
        <x:v>0</x:v>
      </x:c>
      <x:c r="V14" s="48" t="n">
        <x:v>96853.95065178895</x:v>
      </x:c>
      <x:c r="W14" s="48" t="n">
        <x:v>82325.8580540206</x:v>
      </x:c>
      <x:c r="X14" s="48" t="n">
        <x:v>208390.5996649544</x:v>
      </x:c>
      <x:c r="Y14" s="48" t="n">
        <x:v>40493.12804020547</x:v>
      </x:c>
      <x:c r="Z14" s="48" t="n">
        <x:v>167897.47162474896</x:v>
      </x:c>
      <x:c r="AA14" s="48" t="n">
        <x:v>26361.443757444773</x:v>
      </x:c>
      <x:c r="AB14" s="48" t="n">
        <x:v>0</x:v>
      </x:c>
      <x:c r="AC14" s="48" t="n">
        <x:v>0</x:v>
      </x:c>
      <x:c r="AD14" s="48" t="n">
        <x:v>114315.55006093525</x:v>
      </x:c>
      <x:c r="AE14" s="48" t="n">
        <x:v>82241.69844434275</x:v>
      </x:c>
      <x:c r="AF14" s="48" t="n">
        <x:v>82241.69844434275</x:v>
      </x:c>
      <x:c r="AG14" s="48" t="n">
        <x:v>0</x:v>
      </x:c>
      <x:c r="AH14" s="48" t="n">
        <x:v>0</x:v>
      </x:c>
      <x:c r="AI14" s="48" t="n">
        <x:v>0</x:v>
      </x:c>
      <x:c r="AJ14" s="48" t="n">
        <x:v>1874051.2420550245</x:v>
      </x:c>
      <x:c r="AK14" s="48" t="n">
        <x:v>614534.2645495194</x:v>
      </x:c>
      <x:c r="AL14" s="48" t="n">
        <x:v>282847.37134848547</x:v>
      </x:c>
      <x:c r="AM14" s="48" t="n">
        <x:v>731908.3540896478</x:v>
      </x:c>
      <x:c r="AN14" s="48" t="n">
        <x:v>3503341.232042677</x:v>
      </x:c>
      <x:c r="AO14" s="48" t="n">
        <x:v>0</x:v>
      </x:c>
    </x:row>
    <x:row r="15">
      <x:c r="A15" t="n">
        <x:v>2039</x:v>
      </x:c>
      <x:c r="B15" t="n">
        <x:v>81</x:v>
      </x:c>
      <x:c r="C15" t="n">
        <x:v>78</x:v>
      </x:c>
      <x:c r="D15" s="48" t="n">
        <x:v>48072.42968404708</x:v>
      </x:c>
      <x:c r="E15" s="48" t="n">
        <x:v>51202.86973403658</x:v>
      </x:c>
      <x:c r="F15" s="48" t="n">
        <x:v>9593.4</x:v>
      </x:c>
      <x:c r="G15" s="48" t="n">
        <x:v>96600.57948737241</x:v>
      </x:c>
      <x:c r="H15" s="48" t="n">
        <x:v>0</x:v>
      </x:c>
      <x:c r="I15" s="48" t="n">
        <x:v>24000</x:v>
      </x:c>
      <x:c r="J15" s="48" t="n">
        <x:v>0</x:v>
      </x:c>
      <x:c r="K15" s="48" t="n">
        <x:v>0</x:v>
      </x:c>
      <x:c r="L15" s="48" t="n">
        <x:v>0</x:v>
      </x:c>
      <x:c r="M15" s="48" t="n">
        <x:v>0</x:v>
      </x:c>
      <x:c r="N15" s="48" t="n">
        <x:v>0</x:v>
      </x:c>
      <x:c r="O15" s="48" t="n">
        <x:v>0</x:v>
      </x:c>
      <x:c r="P15" s="48" t="n">
        <x:v>0</x:v>
      </x:c>
      <x:c r="Q15" s="48" t="n">
        <x:v>0</x:v>
      </x:c>
      <x:c r="R15" s="48" t="n">
        <x:v>0</x:v>
      </x:c>
      <x:c r="S15" s="188" t="b">
        <x:v>0</x:v>
      </x:c>
      <x:c r="T15" s="48" t="str"/>
      <x:c r="U15" s="48" t="n">
        <x:v>0</x:v>
      </x:c>
      <x:c r="V15" s="48" t="n">
        <x:v>99275.29941808365</x:v>
      </x:c>
      <x:c r="W15" s="48" t="n">
        <x:v>84384.00450537111</x:v>
      </x:c>
      <x:c r="X15" s="48" t="n">
        <x:v>214577.9839927435</x:v>
      </x:c>
      <x:c r="Y15" s="48" t="n">
        <x:v>39750.64192087078</x:v>
      </x:c>
      <x:c r="Z15" s="48" t="n">
        <x:v>174827.34207187273</x:v>
      </x:c>
      <x:c r="AA15" s="48" t="n">
        <x:v>27886.015255812003</x:v>
      </x:c>
      <x:c r="AB15" s="48" t="n">
        <x:v>0</x:v>
      </x:c>
      <x:c r="AC15" s="48" t="n">
        <x:v>0</x:v>
      </x:c>
      <x:c r="AD15" s="48" t="n">
        <x:v>117173.43881245861</x:v>
      </x:c>
      <x:c r="AE15" s="48" t="n">
        <x:v>84409.82483718546</x:v>
      </x:c>
      <x:c r="AF15" s="48" t="n">
        <x:v>84409.82483718546</x:v>
      </x:c>
      <x:c r="AG15" s="48" t="n">
        <x:v>0</x:v>
      </x:c>
      <x:c r="AH15" s="48" t="n">
        <x:v>0</x:v>
      </x:c>
      <x:c r="AI15" s="48" t="n">
        <x:v>0</x:v>
      </x:c>
      <x:c r="AJ15" s="48" t="n">
        <x:v>1876192.2089473878</x:v>
      </x:c>
      <x:c r="AK15" s="48" t="n">
        <x:v>657551.6630679858</x:v>
      </x:c>
      <x:c r="AL15" s="48" t="n">
        <x:v>296989.73991590977</x:v>
      </x:c>
      <x:c r="AM15" s="48" t="n">
        <x:v>832644.5425053699</x:v>
      </x:c>
      <x:c r="AN15" s="48" t="n">
        <x:v>3663378.1544366535</x:v>
      </x:c>
      <x:c r="AO15" s="48" t="n">
        <x:v>0</x:v>
      </x:c>
    </x:row>
    <x:row r="16">
      <x:c r="A16" t="n">
        <x:v>2040</x:v>
      </x:c>
      <x:c r="B16" t="n">
        <x:v>82</x:v>
      </x:c>
      <x:c r="C16" t="n">
        <x:v>79</x:v>
      </x:c>
      <x:c r="D16" s="48" t="n">
        <x:v>49274.24042614826</x:v>
      </x:c>
      <x:c r="E16" s="48" t="n">
        <x:v>52482.941477387496</x:v>
      </x:c>
      <x:c r="F16" s="48" t="n">
        <x:v>9593.4</x:v>
      </x:c>
      <x:c r="G16" s="48" t="n">
        <x:v>101415.79507823718</x:v>
      </x:c>
      <x:c r="H16" s="48" t="n">
        <x:v>0</x:v>
      </x:c>
      <x:c r="I16" s="48" t="n">
        <x:v>24000</x:v>
      </x:c>
      <x:c r="J16" s="48" t="n">
        <x:v>0</x:v>
      </x:c>
      <x:c r="K16" s="48" t="n">
        <x:v>0</x:v>
      </x:c>
      <x:c r="L16" s="48" t="n">
        <x:v>0</x:v>
      </x:c>
      <x:c r="M16" s="48" t="n">
        <x:v>0</x:v>
      </x:c>
      <x:c r="N16" s="48" t="n">
        <x:v>0</x:v>
      </x:c>
      <x:c r="O16" s="48" t="n">
        <x:v>0</x:v>
      </x:c>
      <x:c r="P16" s="48" t="n">
        <x:v>0</x:v>
      </x:c>
      <x:c r="Q16" s="48" t="n">
        <x:v>0</x:v>
      </x:c>
      <x:c r="R16" s="48" t="n">
        <x:v>0</x:v>
      </x:c>
      <x:c r="S16" s="188" t="b">
        <x:v>0</x:v>
      </x:c>
      <x:c r="T16" s="48" t="str"/>
      <x:c r="U16" s="48" t="n">
        <x:v>0</x:v>
      </x:c>
      <x:c r="V16" s="48" t="n">
        <x:v>101757.18190353576</x:v>
      </x:c>
      <x:c r="W16" s="48" t="n">
        <x:v>86493.6046180054</x:v>
      </x:c>
      <x:c r="X16" s="48" t="n">
        <x:v>221502.79969624258</x:v>
      </x:c>
      <x:c r="Y16" s="48" t="n">
        <x:v>38919.66403645089</x:v>
      </x:c>
      <x:c r="Z16" s="48" t="n">
        <x:v>182583.1356597917</x:v>
      </x:c>
      <x:c r="AA16" s="48" t="n">
        <x:v>29592.289845154173</x:v>
      </x:c>
      <x:c r="AB16" s="48" t="n">
        <x:v>0</x:v>
      </x:c>
      <x:c r="AC16" s="48" t="n">
        <x:v>2222.4</x:v>
      </x:c>
      <x:c r="AD16" s="48" t="n">
        <x:v>120102.77478277008</x:v>
      </x:c>
      <x:c r="AE16" s="48" t="n">
        <x:v>84848.91235384869</x:v>
      </x:c>
      <x:c r="AF16" s="48" t="n">
        <x:v>84848.91235384869</x:v>
      </x:c>
      <x:c r="AG16" s="48" t="n">
        <x:v>0</x:v>
      </x:c>
      <x:c r="AH16" s="48" t="n">
        <x:v>0</x:v>
      </x:c>
      <x:c r="AI16" s="48" t="n">
        <x:v>0</x:v>
      </x:c>
      <x:c r="AJ16" s="48" t="n">
        <x:v>1873330.7628399914</x:v>
      </x:c>
      <x:c r="AK16" s="48" t="n">
        <x:v>703580.2794827449</x:v>
      </x:c>
      <x:c r="AL16" s="48" t="n">
        <x:v>311839.2269117053</x:v>
      </x:c>
      <x:c r="AM16" s="48" t="n">
        <x:v>935843.323956403</x:v>
      </x:c>
      <x:c r="AN16" s="48" t="n">
        <x:v>3824593.5931908446</x:v>
      </x:c>
      <x:c r="AO16" s="48" t="n">
        <x:v>0</x:v>
      </x:c>
    </x:row>
    <x:row r="17">
      <x:c r="A17" t="n">
        <x:v>2041</x:v>
      </x:c>
      <x:c r="B17" t="n">
        <x:v>83</x:v>
      </x:c>
      <x:c r="C17" t="n">
        <x:v>80</x:v>
      </x:c>
      <x:c r="D17" s="48" t="n">
        <x:v>50506.096436801956</x:v>
      </x:c>
      <x:c r="E17" s="48" t="n">
        <x:v>53795.015014322176</x:v>
      </x:c>
      <x:c r="F17" s="48" t="n">
        <x:v>9593.4</x:v>
      </x:c>
      <x:c r="G17" s="48" t="n">
        <x:v>105837.89620564923</x:v>
      </x:c>
      <x:c r="H17" s="48" t="n">
        <x:v>0</x:v>
      </x:c>
      <x:c r="I17" s="48" t="n">
        <x:v>24000</x:v>
      </x:c>
      <x:c r="J17" s="48" t="n">
        <x:v>0</x:v>
      </x:c>
      <x:c r="K17" s="48" t="n">
        <x:v>0</x:v>
      </x:c>
      <x:c r="L17" s="48" t="n">
        <x:v>0</x:v>
      </x:c>
      <x:c r="M17" s="48" t="n">
        <x:v>0</x:v>
      </x:c>
      <x:c r="N17" s="48" t="n">
        <x:v>0</x:v>
      </x:c>
      <x:c r="O17" s="48" t="n">
        <x:v>0</x:v>
      </x:c>
      <x:c r="P17" s="48" t="n">
        <x:v>0</x:v>
      </x:c>
      <x:c r="Q17" s="48" t="n">
        <x:v>0</x:v>
      </x:c>
      <x:c r="R17" s="48" t="n">
        <x:v>0</x:v>
      </x:c>
      <x:c r="S17" s="188" t="b">
        <x:v>0</x:v>
      </x:c>
      <x:c r="T17" s="48" t="str"/>
      <x:c r="U17" s="48" t="n">
        <x:v>0</x:v>
      </x:c>
      <x:c r="V17" s="48" t="n">
        <x:v>104301.11145112413</x:v>
      </x:c>
      <x:c r="W17" s="48" t="n">
        <x:v>88655.94473345552</x:v>
      </x:c>
      <x:c r="X17" s="48" t="n">
        <x:v>228087.24093910475</x:v>
      </x:c>
      <x:c r="Y17" s="48" t="n">
        <x:v>38129.53108730743</x:v>
      </x:c>
      <x:c r="Z17" s="48" t="n">
        <x:v>189957.70985179732</x:v>
      </x:c>
      <x:c r="AA17" s="48" t="n">
        <x:v>31214.69616739541</x:v>
      </x:c>
      <x:c r="AB17" s="48" t="n">
        <x:v>0</x:v>
      </x:c>
      <x:c r="AC17" s="48" t="n">
        <x:v>2222.4</x:v>
      </x:c>
      <x:c r="AD17" s="48" t="n">
        <x:v>123105.34415233931</x:v>
      </x:c>
      <x:c r="AE17" s="48" t="n">
        <x:v>87189.96733703862</x:v>
      </x:c>
      <x:c r="AF17" s="48" t="n">
        <x:v>87189.96733703862</x:v>
      </x:c>
      <x:c r="AG17" s="48" t="n">
        <x:v>0</x:v>
      </x:c>
      <x:c r="AH17" s="48" t="n">
        <x:v>0</x:v>
      </x:c>
      <x:c r="AI17" s="48" t="n">
        <x:v>0</x:v>
      </x:c>
      <x:c r="AJ17" s="48" t="n">
        <x:v>1865537.3672987462</x:v>
      </x:c>
      <x:c r="AK17" s="48" t="n">
        <x:v>752830.899046537</x:v>
      </x:c>
      <x:c r="AL17" s="48" t="n">
        <x:v>327431.1882572906</x:v>
      </x:c>
      <x:c r="AM17" s="48" t="n">
        <x:v>1043493.9571193104</x:v>
      </x:c>
      <x:c r="AN17" s="48" t="n">
        <x:v>3989293.411721884</x:v>
      </x:c>
      <x:c r="AO17" s="48" t="n">
        <x:v>0</x:v>
      </x:c>
    </x:row>
    <x:row r="18">
      <x:c r="A18" t="n">
        <x:v>2042</x:v>
      </x:c>
      <x:c r="B18" t="n">
        <x:v>84</x:v>
      </x:c>
      <x:c r="C18" t="n">
        <x:v>81</x:v>
      </x:c>
      <x:c r="D18" s="48" t="n">
        <x:v>51768.748847722</x:v>
      </x:c>
      <x:c r="E18" s="48" t="n">
        <x:v>55139.89038968023</x:v>
      </x:c>
      <x:c r="F18" s="48" t="n">
        <x:v>9593.4</x:v>
      </x:c>
      <x:c r="G18" s="48" t="n">
        <x:v>111043.89091063965</x:v>
      </x:c>
      <x:c r="H18" s="48" t="n">
        <x:v>0</x:v>
      </x:c>
      <x:c r="I18" s="48" t="n">
        <x:v>24000</x:v>
      </x:c>
      <x:c r="J18" s="48" t="n">
        <x:v>0</x:v>
      </x:c>
      <x:c r="K18" s="48" t="n">
        <x:v>0</x:v>
      </x:c>
      <x:c r="L18" s="48" t="n">
        <x:v>0</x:v>
      </x:c>
      <x:c r="M18" s="48" t="n">
        <x:v>0</x:v>
      </x:c>
      <x:c r="N18" s="48" t="n">
        <x:v>0</x:v>
      </x:c>
      <x:c r="O18" s="48" t="n">
        <x:v>0</x:v>
      </x:c>
      <x:c r="P18" s="48" t="n">
        <x:v>0</x:v>
      </x:c>
      <x:c r="Q18" s="48" t="n">
        <x:v>0</x:v>
      </x:c>
      <x:c r="R18" s="48" t="n">
        <x:v>0</x:v>
      </x:c>
      <x:c r="S18" s="188" t="b">
        <x:v>0</x:v>
      </x:c>
      <x:c r="T18" s="48" t="str"/>
      <x:c r="U18" s="48" t="n">
        <x:v>0</x:v>
      </x:c>
      <x:c r="V18" s="48" t="n">
        <x:v>106908.63923740224</x:v>
      </x:c>
      <x:c r="W18" s="48" t="n">
        <x:v>90872.3433517919</x:v>
      </x:c>
      <x:c r="X18" s="48" t="n">
        <x:v>235509.63426243156</x:v>
      </x:c>
      <x:c r="Y18" s="48" t="n">
        <x:v>37238.843888508214</x:v>
      </x:c>
      <x:c r="Z18" s="48" t="n">
        <x:v>198270.79037392334</x:v>
      </x:c>
      <x:c r="AA18" s="48" t="n">
        <x:v>33043.57388226314</x:v>
      </x:c>
      <x:c r="AB18" s="48" t="n">
        <x:v>0</x:v>
      </x:c>
      <x:c r="AC18" s="48" t="n">
        <x:v>2222.4</x:v>
      </x:c>
      <x:c r="AD18" s="48" t="n">
        <x:v>126182.9777561478</x:v>
      </x:c>
      <x:c r="AE18" s="48" t="n">
        <x:v>90096.97850963092</x:v>
      </x:c>
      <x:c r="AF18" s="48" t="n">
        <x:v>90096.97850963092</x:v>
      </x:c>
      <x:c r="AG18" s="48" t="n">
        <x:v>0</x:v>
      </x:c>
      <x:c r="AH18" s="48" t="n">
        <x:v>0</x:v>
      </x:c>
      <x:c r="AI18" s="48" t="n">
        <x:v>0</x:v>
      </x:c>
      <x:c r="AJ18" s="48" t="n">
        <x:v>1851628.0197352741</x:v>
      </x:c>
      <x:c r="AK18" s="48" t="n">
        <x:v>805529.0619797946</x:v>
      </x:c>
      <x:c r="AL18" s="48" t="n">
        <x:v>343802.74767015513</x:v>
      </x:c>
      <x:c r="AM18" s="48" t="n">
        <x:v>1156262.7543415201</x:v>
      </x:c>
      <x:c r="AN18" s="48" t="n">
        <x:v>4157222.583726744</x:v>
      </x:c>
      <x:c r="AO18" s="48" t="n">
        <x:v>0</x:v>
      </x:c>
    </x:row>
    <x:row r="19">
      <x:c r="A19" t="n">
        <x:v>2043</x:v>
      </x:c>
      <x:c r="B19" t="n">
        <x:v>85</x:v>
      </x:c>
      <x:c r="C19" t="n">
        <x:v>82</x:v>
      </x:c>
      <x:c r="D19" s="48" t="n">
        <x:v>53062.967568915046</x:v>
      </x:c>
      <x:c r="E19" s="48" t="n">
        <x:v>56518.38764942223</x:v>
      </x:c>
      <x:c r="F19" s="48" t="n">
        <x:v>9593.4</x:v>
      </x:c>
      <x:c r="G19" s="48" t="n">
        <x:v>115726.75123345463</x:v>
      </x:c>
      <x:c r="H19" s="48" t="n">
        <x:v>0</x:v>
      </x:c>
      <x:c r="I19" s="48" t="n">
        <x:v>24000</x:v>
      </x:c>
      <x:c r="J19" s="48" t="n">
        <x:v>0</x:v>
      </x:c>
      <x:c r="K19" s="48" t="n">
        <x:v>0</x:v>
      </x:c>
      <x:c r="L19" s="48" t="n">
        <x:v>0</x:v>
      </x:c>
      <x:c r="M19" s="48" t="n">
        <x:v>0</x:v>
      </x:c>
      <x:c r="N19" s="48" t="n">
        <x:v>0</x:v>
      </x:c>
      <x:c r="O19" s="48" t="n">
        <x:v>0</x:v>
      </x:c>
      <x:c r="P19" s="48" t="n">
        <x:v>0</x:v>
      </x:c>
      <x:c r="Q19" s="48" t="n">
        <x:v>0</x:v>
      </x:c>
      <x:c r="R19" s="48" t="n">
        <x:v>0</x:v>
      </x:c>
      <x:c r="S19" s="188" t="b">
        <x:v>0</x:v>
      </x:c>
      <x:c r="T19" s="48" t="str"/>
      <x:c r="U19" s="48" t="n">
        <x:v>0</x:v>
      </x:c>
      <x:c r="V19" s="48" t="n">
        <x:v>109581.35521833727</x:v>
      </x:c>
      <x:c r="W19" s="48" t="n">
        <x:v>93144.15193558668</x:v>
      </x:c>
      <x:c r="X19" s="48" t="n">
        <x:v>242464.3031690413</x:v>
      </x:c>
      <x:c r="Y19" s="48" t="n">
        <x:v>36404.28361971505</x:v>
      </x:c>
      <x:c r="Z19" s="48" t="n">
        <x:v>206060.01954932624</x:v>
      </x:c>
      <x:c r="AA19" s="48" t="n">
        <x:v>34757.20430085177</x:v>
      </x:c>
      <x:c r="AB19" s="48" t="n">
        <x:v>0</x:v>
      </x:c>
      <x:c r="AC19" s="48" t="n">
        <x:v>2222.4</x:v>
      </x:c>
      <x:c r="AD19" s="48" t="n">
        <x:v>129337.55220005148</x:v>
      </x:c>
      <x:c r="AE19" s="48" t="n">
        <x:v>92584.34995088867</x:v>
      </x:c>
      <x:c r="AF19" s="48" t="n">
        <x:v>92584.34995088867</x:v>
      </x:c>
      <x:c r="AG19" s="48" t="n">
        <x:v>0</x:v>
      </x:c>
      <x:c r="AH19" s="48" t="n">
        <x:v>0</x:v>
      </x:c>
      <x:c r="AI19" s="48" t="n">
        <x:v>0</x:v>
      </x:c>
      <x:c r="AJ19" s="48" t="n">
        <x:v>1831734.3572969472</x:v>
      </x:c>
      <x:c r="AK19" s="48" t="n">
        <x:v>861916.0963183803</x:v>
      </x:c>
      <x:c r="AL19" s="48" t="n">
        <x:v>360992.88505366293</x:v>
      </x:c>
      <x:c r="AM19" s="48" t="n">
        <x:v>1273824.046378257</x:v>
      </x:c>
      <x:c r="AN19" s="48" t="n">
        <x:v>4328467.385047248</x:v>
      </x:c>
      <x:c r="AO19" s="48" t="n">
        <x:v>0</x:v>
      </x:c>
    </x:row>
    <x:row r="20">
      <x:c r="A20" t="n">
        <x:v>2044</x:v>
      </x:c>
      <x:c r="B20" t="n">
        <x:v>86</x:v>
      </x:c>
      <x:c r="C20" t="n">
        <x:v>83</x:v>
      </x:c>
      <x:c r="D20" s="48" t="n">
        <x:v>54389.54175813792</x:v>
      </x:c>
      <x:c r="E20" s="48" t="n">
        <x:v>57931.34734065778</x:v>
      </x:c>
      <x:c r="F20" s="48" t="n">
        <x:v>9593.4</x:v>
      </x:c>
      <x:c r="G20" s="48" t="n">
        <x:v>120508.8392958518</x:v>
      </x:c>
      <x:c r="H20" s="48" t="n">
        <x:v>0</x:v>
      </x:c>
      <x:c r="I20" s="48" t="n">
        <x:v>24000</x:v>
      </x:c>
      <x:c r="J20" s="48" t="n">
        <x:v>0</x:v>
      </x:c>
      <x:c r="K20" s="48" t="n">
        <x:v>0</x:v>
      </x:c>
      <x:c r="L20" s="48" t="n">
        <x:v>0</x:v>
      </x:c>
      <x:c r="M20" s="48" t="n">
        <x:v>0</x:v>
      </x:c>
      <x:c r="N20" s="48" t="n">
        <x:v>0</x:v>
      </x:c>
      <x:c r="O20" s="48" t="n">
        <x:v>0</x:v>
      </x:c>
      <x:c r="P20" s="48" t="n">
        <x:v>0</x:v>
      </x:c>
      <x:c r="Q20" s="48" t="n">
        <x:v>0</x:v>
      </x:c>
      <x:c r="R20" s="48" t="n">
        <x:v>0</x:v>
      </x:c>
      <x:c r="S20" s="188" t="b">
        <x:v>0</x:v>
      </x:c>
      <x:c r="T20" s="48" t="str"/>
      <x:c r="U20" s="48" t="n">
        <x:v>0</x:v>
      </x:c>
      <x:c r="V20" s="48" t="n">
        <x:v>112320.88909879571</x:v>
      </x:c>
      <x:c r="W20" s="48" t="n">
        <x:v>95472.75573397636</x:v>
      </x:c>
      <x:c r="X20" s="48" t="n">
        <x:v>249574.99502982816</x:v>
      </x:c>
      <x:c r="Y20" s="48" t="n">
        <x:v>35551.00059642062</x:v>
      </x:c>
      <x:c r="Z20" s="48" t="n">
        <x:v>214023.99443340756</x:v>
      </x:c>
      <x:c r="AA20" s="48" t="n">
        <x:v>36561.75866401781</x:v>
      </x:c>
      <x:c r="AB20" s="48" t="n">
        <x:v>0</x:v>
      </x:c>
      <x:c r="AC20" s="48" t="n">
        <x:v>2222.4</x:v>
      </x:c>
      <x:c r="AD20" s="48" t="n">
        <x:v>132570.99100505275</x:v>
      </x:c>
      <x:c r="AE20" s="48" t="n">
        <x:v>95067.97872557695</x:v>
      </x:c>
      <x:c r="AF20" s="48" t="n">
        <x:v>95067.97872557695</x:v>
      </x:c>
      <x:c r="AG20" s="48" t="n">
        <x:v>0</x:v>
      </x:c>
      <x:c r="AH20" s="48" t="n">
        <x:v>0</x:v>
      </x:c>
      <x:c r="AI20" s="48" t="n">
        <x:v>0</x:v>
      </x:c>
      <x:c r="AJ20" s="48" t="n">
        <x:v>1805331.3042611722</x:v>
      </x:c>
      <x:c r="AK20" s="48" t="n">
        <x:v>922250.223060667</x:v>
      </x:c>
      <x:c r="AL20" s="48" t="n">
        <x:v>379042.5293063461</x:v>
      </x:c>
      <x:c r="AM20" s="48" t="n">
        <x:v>1396269.8656059108</x:v>
      </x:c>
      <x:c r="AN20" s="48" t="n">
        <x:v>4502893.922234096</x:v>
      </x:c>
      <x:c r="AO20" s="48" t="n">
        <x:v>0</x:v>
      </x:c>
    </x:row>
    <x:row r="21">
      <x:c r="A21" t="n">
        <x:v>2045</x:v>
      </x:c>
      <x:c r="B21" t="n">
        <x:v>87</x:v>
      </x:c>
      <x:c r="C21" t="n">
        <x:v>84</x:v>
      </x:c>
      <x:c r="D21" s="48" t="n">
        <x:v>55749.28030209136</x:v>
      </x:c>
      <x:c r="E21" s="48" t="n">
        <x:v>59379.63102417422</x:v>
      </x:c>
      <x:c r="F21" s="48" t="n">
        <x:v>9593.4</x:v>
      </x:c>
      <x:c r="G21" s="48" t="n">
        <x:v>125370.2294625814</x:v>
      </x:c>
      <x:c r="H21" s="48" t="n">
        <x:v>0</x:v>
      </x:c>
      <x:c r="I21" s="48" t="n">
        <x:v>24000</x:v>
      </x:c>
      <x:c r="J21" s="48" t="n">
        <x:v>0</x:v>
      </x:c>
      <x:c r="K21" s="48" t="n">
        <x:v>0</x:v>
      </x:c>
      <x:c r="L21" s="48" t="n">
        <x:v>0</x:v>
      </x:c>
      <x:c r="M21" s="48" t="n">
        <x:v>0</x:v>
      </x:c>
      <x:c r="N21" s="48" t="n">
        <x:v>0</x:v>
      </x:c>
      <x:c r="O21" s="48" t="n">
        <x:v>0</x:v>
      </x:c>
      <x:c r="P21" s="48" t="n">
        <x:v>0</x:v>
      </x:c>
      <x:c r="Q21" s="48" t="n">
        <x:v>0</x:v>
      </x:c>
      <x:c r="R21" s="48" t="n">
        <x:v>0</x:v>
      </x:c>
      <x:c r="S21" s="188" t="b">
        <x:v>0</x:v>
      </x:c>
      <x:c r="T21" s="48" t="str"/>
      <x:c r="U21" s="48" t="n">
        <x:v>0</x:v>
      </x:c>
      <x:c r="V21" s="48" t="n">
        <x:v>115128.91132626557</x:v>
      </x:c>
      <x:c r="W21" s="48" t="n">
        <x:v>97859.57462732574</x:v>
      </x:c>
      <x:c r="X21" s="48" t="n">
        <x:v>256823.2040899071</x:v>
      </x:c>
      <x:c r="Y21" s="48" t="n">
        <x:v>35500</x:v>
      </x:c>
      <x:c r="Z21" s="48" t="n">
        <x:v>221323.2040899071</x:v>
      </x:c>
      <x:c r="AA21" s="48" t="n">
        <x:v>38313.56898157771</x:v>
      </x:c>
      <x:c r="AB21" s="48" t="n">
        <x:v>0</x:v>
      </x:c>
      <x:c r="AC21" s="48" t="n">
        <x:v>2222.4</x:v>
      </x:c>
      <x:c r="AD21" s="48" t="n">
        <x:v>135885.26578017906</x:v>
      </x:c>
      <x:c r="AE21" s="48" t="n">
        <x:v>97671.3060270902</x:v>
      </x:c>
      <x:c r="AF21" s="48" t="n">
        <x:v>97671.3060270902</x:v>
      </x:c>
      <x:c r="AG21" s="48" t="n">
        <x:v>0</x:v>
      </x:c>
      <x:c r="AH21" s="48" t="n">
        <x:v>0</x:v>
      </x:c>
      <x:c r="AI21" s="48" t="n">
        <x:v>0</x:v>
      </x:c>
      <x:c r="AJ21" s="48" t="n">
        <x:v>1771878.350034492</x:v>
      </x:c>
      <x:c r="AK21" s="48" t="n">
        <x:v>986807.7386749138</x:v>
      </x:c>
      <x:c r="AL21" s="48" t="n">
        <x:v>397994.6557716634</x:v>
      </x:c>
      <x:c r="AM21" s="48" t="n">
        <x:v>1523819.995065661</x:v>
      </x:c>
      <x:c r="AN21" s="48" t="n">
        <x:v>4680500.73954673</x:v>
      </x:c>
      <x:c r="AO21" s="48" t="n">
        <x:v>0</x:v>
      </x:c>
    </x:row>
    <x:row r="22">
      <x:c r="A22" t="n">
        <x:v>2046</x:v>
      </x:c>
      <x:c r="B22" t="n">
        <x:v>88</x:v>
      </x:c>
      <x:c r="C22" t="n">
        <x:v>85</x:v>
      </x:c>
      <x:c r="D22" s="48" t="n">
        <x:v>57143.01230964364</x:v>
      </x:c>
      <x:c r="E22" s="48" t="n">
        <x:v>60864.12179977857</x:v>
      </x:c>
      <x:c r="F22" s="48" t="n">
        <x:v>9593.4</x:v>
      </x:c>
      <x:c r="G22" s="48" t="n">
        <x:v>129334.18613390454</x:v>
      </x:c>
      <x:c r="H22" s="48" t="n">
        <x:v>0</x:v>
      </x:c>
      <x:c r="I22" s="48" t="n">
        <x:v>24000</x:v>
      </x:c>
      <x:c r="J22" s="48" t="n">
        <x:v>0</x:v>
      </x:c>
      <x:c r="K22" s="48" t="n">
        <x:v>0</x:v>
      </x:c>
      <x:c r="L22" s="48" t="n">
        <x:v>0</x:v>
      </x:c>
      <x:c r="M22" s="48" t="n">
        <x:v>0</x:v>
      </x:c>
      <x:c r="N22" s="48" t="n">
        <x:v>0</x:v>
      </x:c>
      <x:c r="O22" s="48" t="n">
        <x:v>0</x:v>
      </x:c>
      <x:c r="P22" s="48" t="n">
        <x:v>0</x:v>
      </x:c>
      <x:c r="Q22" s="48" t="n">
        <x:v>0</x:v>
      </x:c>
      <x:c r="R22" s="48" t="n">
        <x:v>0</x:v>
      </x:c>
      <x:c r="S22" s="188" t="b">
        <x:v>0</x:v>
      </x:c>
      <x:c r="T22" s="48" t="str"/>
      <x:c r="U22" s="48" t="n">
        <x:v>0</x:v>
      </x:c>
      <x:c r="V22" s="48" t="n">
        <x:v>118007.13410942222</x:v>
      </x:c>
      <x:c r="W22" s="48" t="n">
        <x:v>100306.06399300888</x:v>
      </x:c>
      <x:c r="X22" s="48" t="n">
        <x:v>263233.65012691345</x:v>
      </x:c>
      <x:c r="Y22" s="48" t="n">
        <x:v>35500</x:v>
      </x:c>
      <x:c r="Z22" s="48" t="n">
        <x:v>227733.65012691345</x:v>
      </x:c>
      <x:c r="AA22" s="48" t="n">
        <x:v>39852.076030459226</x:v>
      </x:c>
      <x:c r="AB22" s="48" t="n">
        <x:v>0</x:v>
      </x:c>
      <x:c r="AC22" s="48" t="n">
        <x:v>2222.4</x:v>
      </x:c>
      <x:c r="AD22" s="48" t="n">
        <x:v>139282.3974246835</x:v>
      </x:c>
      <x:c r="AE22" s="48" t="n">
        <x:v>99577.84678818402</x:v>
      </x:c>
      <x:c r="AF22" s="48" t="n">
        <x:v>99577.84678818402</x:v>
      </x:c>
      <x:c r="AG22" s="48" t="n">
        <x:v>0</x:v>
      </x:c>
      <x:c r="AH22" s="48" t="n">
        <x:v>0</x:v>
      </x:c>
      <x:c r="AI22" s="48" t="n">
        <x:v>0</x:v>
      </x:c>
      <x:c r="AJ22" s="48" t="n">
        <x:v>1731842.2553736288</x:v>
      </x:c>
      <x:c r="AK22" s="48" t="n">
        <x:v>1055884.2803821578</x:v>
      </x:c>
      <x:c r="AL22" s="48" t="n">
        <x:v>417894.3885602466</x:v>
      </x:c>
      <x:c r="AM22" s="48" t="n">
        <x:v>1655865.7986909219</x:v>
      </x:c>
      <x:c r="AN22" s="48" t="n">
        <x:v>4861486.723006955</x:v>
      </x:c>
      <x:c r="AO22" s="48" t="n">
        <x:v>0</x:v>
      </x:c>
    </x:row>
    <x:row r="23">
      <x:c r="A23" t="n">
        <x:v>2047</x:v>
      </x:c>
      <x:c r="B23" t="n">
        <x:v>89</x:v>
      </x:c>
      <x:c r="C23" t="n">
        <x:v>86</x:v>
      </x:c>
      <x:c r="D23" s="48" t="n">
        <x:v>58571.58761738473</x:v>
      </x:c>
      <x:c r="E23" s="48" t="n">
        <x:v>62385.72484477302</x:v>
      </x:c>
      <x:c r="F23" s="48" t="n">
        <x:v>9593.4</x:v>
      </x:c>
      <x:c r="G23" s="48" t="n">
        <x:v>134251.33762586268</x:v>
      </x:c>
      <x:c r="H23" s="48" t="n">
        <x:v>0</x:v>
      </x:c>
      <x:c r="I23" s="48" t="n">
        <x:v>24000</x:v>
      </x:c>
      <x:c r="J23" s="48" t="n">
        <x:v>0</x:v>
      </x:c>
      <x:c r="K23" s="48" t="n">
        <x:v>0</x:v>
      </x:c>
      <x:c r="L23" s="48" t="n">
        <x:v>0</x:v>
      </x:c>
      <x:c r="M23" s="48" t="n">
        <x:v>0</x:v>
      </x:c>
      <x:c r="N23" s="48" t="n">
        <x:v>0</x:v>
      </x:c>
      <x:c r="O23" s="48" t="n">
        <x:v>0</x:v>
      </x:c>
      <x:c r="P23" s="48" t="n">
        <x:v>0</x:v>
      </x:c>
      <x:c r="Q23" s="48" t="n">
        <x:v>0</x:v>
      </x:c>
      <x:c r="R23" s="48" t="n">
        <x:v>0</x:v>
      </x:c>
      <x:c r="S23" s="188" t="b">
        <x:v>0</x:v>
      </x:c>
      <x:c r="T23" s="48" t="str"/>
      <x:c r="U23" s="48" t="n">
        <x:v>0</x:v>
      </x:c>
      <x:c r="V23" s="48" t="n">
        <x:v>120957.31246215774</x:v>
      </x:c>
      <x:c r="W23" s="48" t="n">
        <x:v>102813.71559283408</x:v>
      </x:c>
      <x:c r="X23" s="48" t="n">
        <x:v>270658.45321869676</x:v>
      </x:c>
      <x:c r="Y23" s="48" t="n">
        <x:v>35500</x:v>
      </x:c>
      <x:c r="Z23" s="48" t="n">
        <x:v>235158.45321869676</x:v>
      </x:c>
      <x:c r="AA23" s="48" t="n">
        <x:v>41634.02877248722</x:v>
      </x:c>
      <x:c r="AB23" s="48" t="n">
        <x:v>0</x:v>
      </x:c>
      <x:c r="AC23" s="48" t="n">
        <x:v>2222.4</x:v>
      </x:c>
      <x:c r="AD23" s="48" t="n">
        <x:v>142764.4573603006</x:v>
      </x:c>
      <x:c r="AE23" s="48" t="n">
        <x:v>102181.16395523257</x:v>
      </x:c>
      <x:c r="AF23" s="48" t="n">
        <x:v>102181.16395523257</x:v>
      </x:c>
      <x:c r="AG23" s="48" t="n">
        <x:v>0</x:v>
      </x:c>
      <x:c r="AH23" s="48" t="n">
        <x:v>0</x:v>
      </x:c>
      <x:c r="AI23" s="48" t="n">
        <x:v>0</x:v>
      </x:c>
      <x:c r="AJ23" s="48" t="n">
        <x:v>1683742.28199011</x:v>
      </x:c>
      <x:c r="AK23" s="48" t="n">
        <x:v>1129796.180008909</x:v>
      </x:c>
      <x:c r="AL23" s="48" t="n">
        <x:v>438789.10798825894</x:v>
      </x:c>
      <x:c r="AM23" s="48" t="n">
        <x:v>1793207.9018990775</x:v>
      </x:c>
      <x:c r="AN23" s="48" t="n">
        <x:v>5045535.471886355</x:v>
      </x:c>
      <x:c r="AO23" s="48" t="n">
        <x:v>0</x:v>
      </x:c>
    </x:row>
    <x:row r="24">
      <x:c r="A24" t="n">
        <x:v>2048</x:v>
      </x:c>
      <x:c r="B24" t="n">
        <x:v>90</x:v>
      </x:c>
      <x:c r="C24" t="n">
        <x:v>87</x:v>
      </x:c>
      <x:c r="D24" s="48" t="n">
        <x:v>60035.87730781934</x:v>
      </x:c>
      <x:c r="E24" s="48" t="n">
        <x:v>63945.36796589234</x:v>
      </x:c>
      <x:c r="F24" s="48" t="n">
        <x:v>9593.4</x:v>
      </x:c>
      <x:c r="G24" s="48" t="n">
        <x:v>138011.66245820574</x:v>
      </x:c>
      <x:c r="H24" s="48" t="n">
        <x:v>0</x:v>
      </x:c>
      <x:c r="I24" s="48" t="n">
        <x:v>24000</x:v>
      </x:c>
      <x:c r="J24" s="48" t="n">
        <x:v>0</x:v>
      </x:c>
      <x:c r="K24" s="48" t="n">
        <x:v>0</x:v>
      </x:c>
      <x:c r="L24" s="48" t="n">
        <x:v>0</x:v>
      </x:c>
      <x:c r="M24" s="48" t="n">
        <x:v>0</x:v>
      </x:c>
      <x:c r="N24" s="48" t="n">
        <x:v>0</x:v>
      </x:c>
      <x:c r="O24" s="48" t="n">
        <x:v>0</x:v>
      </x:c>
      <x:c r="P24" s="48" t="n">
        <x:v>0</x:v>
      </x:c>
      <x:c r="Q24" s="48" t="n">
        <x:v>0</x:v>
      </x:c>
      <x:c r="R24" s="48" t="n">
        <x:v>0</x:v>
      </x:c>
      <x:c r="S24" s="188" t="b">
        <x:v>0</x:v>
      </x:c>
      <x:c r="T24" s="48" t="str"/>
      <x:c r="U24" s="48" t="n">
        <x:v>0</x:v>
      </x:c>
      <x:c r="V24" s="48" t="n">
        <x:v>123981.24527371168</x:v>
      </x:c>
      <x:c r="W24" s="48" t="n">
        <x:v>105384.05848265493</x:v>
      </x:c>
      <x:c r="X24" s="48" t="n">
        <x:v>276989.12094086065</x:v>
      </x:c>
      <x:c r="Y24" s="48" t="n">
        <x:v>35500</x:v>
      </x:c>
      <x:c r="Z24" s="48" t="n">
        <x:v>241489.12094086065</x:v>
      </x:c>
      <x:c r="AA24" s="48" t="n">
        <x:v>43153.38902580656</x:v>
      </x:c>
      <x:c r="AB24" s="48" t="n">
        <x:v>0</x:v>
      </x:c>
      <x:c r="AC24" s="48" t="n">
        <x:v>5589.6</x:v>
      </x:c>
      <x:c r="AD24" s="48" t="n">
        <x:v>146333.56879430808</x:v>
      </x:c>
      <x:c r="AE24" s="48" t="n">
        <x:v>100509.74991180276</x:v>
      </x:c>
      <x:c r="AF24" s="48" t="n">
        <x:v>100509.74991180276</x:v>
      </x:c>
      <x:c r="AG24" s="48" t="n">
        <x:v>0</x:v>
      </x:c>
      <x:c r="AH24" s="48" t="n">
        <x:v>0</x:v>
      </x:c>
      <x:c r="AI24" s="48" t="n">
        <x:v>0</x:v>
      </x:c>
      <x:c r="AJ24" s="48" t="n">
        <x:v>1628251.7628991376</x:v>
      </x:c>
      <x:c r="AK24" s="48" t="n">
        <x:v>1208881.9126095327</x:v>
      </x:c>
      <x:c r="AL24" s="48" t="n">
        <x:v>460728.5633876719</x:v>
      </x:c>
      <x:c r="AM24" s="48" t="n">
        <x:v>1931592.004847098</x:v>
      </x:c>
      <x:c r="AN24" s="48" t="n">
        <x:v>5229454.24374344</x:v>
      </x:c>
      <x:c r="AO24" s="48" t="n">
        <x:v>0</x:v>
      </x:c>
    </x:row>
    <x:row r="25">
      <x:c r="A25" t="n">
        <x:v>2049</x:v>
      </x:c>
      <x:c r="B25" t="n">
        <x:v>91</x:v>
      </x:c>
      <x:c r="C25" t="n">
        <x:v>88</x:v>
      </x:c>
      <x:c r="D25" s="48" t="n">
        <x:v>61536.774240514824</x:v>
      </x:c>
      <x:c r="E25" s="48" t="n">
        <x:v>65544.00216503965</x:v>
      </x:c>
      <x:c r="F25" s="48" t="n">
        <x:v>9593.4</x:v>
      </x:c>
      <x:c r="G25" s="48" t="n">
        <x:v>141587.10981731632</x:v>
      </x:c>
      <x:c r="H25" s="48" t="n">
        <x:v>0</x:v>
      </x:c>
      <x:c r="I25" s="48" t="n">
        <x:v>24000</x:v>
      </x:c>
      <x:c r="J25" s="48" t="n">
        <x:v>0</x:v>
      </x:c>
      <x:c r="K25" s="48" t="n">
        <x:v>0</x:v>
      </x:c>
      <x:c r="L25" s="48" t="n">
        <x:v>0</x:v>
      </x:c>
      <x:c r="M25" s="48" t="n">
        <x:v>0</x:v>
      </x:c>
      <x:c r="N25" s="48" t="n">
        <x:v>0</x:v>
      </x:c>
      <x:c r="O25" s="48" t="n">
        <x:v>0</x:v>
      </x:c>
      <x:c r="P25" s="48" t="n">
        <x:v>0</x:v>
      </x:c>
      <x:c r="Q25" s="48" t="n">
        <x:v>0</x:v>
      </x:c>
      <x:c r="R25" s="48" t="n">
        <x:v>0</x:v>
      </x:c>
      <x:c r="S25" s="188" t="b">
        <x:v>0</x:v>
      </x:c>
      <x:c r="T25" s="48" t="str"/>
      <x:c r="U25" s="48" t="n">
        <x:v>0</x:v>
      </x:c>
      <x:c r="V25" s="48" t="n">
        <x:v>127080.77640555447</x:v>
      </x:c>
      <x:c r="W25" s="48" t="n">
        <x:v>108018.6599447213</x:v>
      </x:c>
      <x:c r="X25" s="48" t="n">
        <x:v>283199.1697620376</x:v>
      </x:c>
      <x:c r="Y25" s="48" t="n">
        <x:v>35500</x:v>
      </x:c>
      <x:c r="Z25" s="48" t="n">
        <x:v>247699.16976203758</x:v>
      </x:c>
      <x:c r="AA25" s="48" t="n">
        <x:v>44643.80074288902</x:v>
      </x:c>
      <x:c r="AB25" s="48" t="n">
        <x:v>0</x:v>
      </x:c>
      <x:c r="AC25" s="48" t="n">
        <x:v>5589.6</x:v>
      </x:c>
      <x:c r="AD25" s="48" t="n">
        <x:v>149991.9080141658</x:v>
      </x:c>
      <x:c r="AE25" s="48" t="n">
        <x:v>102035.97746581599</x:v>
      </x:c>
      <x:c r="AF25" s="48" t="n">
        <x:v>102035.97746581599</x:v>
      </x:c>
      <x:c r="AG25" s="48" t="n">
        <x:v>0</x:v>
      </x:c>
      <x:c r="AH25" s="48" t="n">
        <x:v>0</x:v>
      </x:c>
      <x:c r="AI25" s="48" t="n">
        <x:v>0</x:v>
      </x:c>
      <x:c r="AJ25" s="48" t="n">
        <x:v>1565051.1787975489</x:v>
      </x:c>
      <x:c r="AK25" s="48" t="n">
        <x:v>1293503.6464922</x:v>
      </x:c>
      <x:c r="AL25" s="48" t="n">
        <x:v>483764.9915570555</x:v>
      </x:c>
      <x:c r="AM25" s="48" t="n">
        <x:v>2074300.5419591723</x:v>
      </x:c>
      <x:c r="AN25" s="48" t="n">
        <x:v>5416620.358805977</x:v>
      </x:c>
      <x:c r="AO25" s="48" t="n">
        <x:v>0</x:v>
      </x:c>
    </x:row>
    <x:row r="26">
      <x:c r="A26" t="n">
        <x:v>2050</x:v>
      </x:c>
      <x:c r="B26" t="n">
        <x:v>92</x:v>
      </x:c>
      <x:c r="C26" t="n">
        <x:v>89</x:v>
      </x:c>
      <x:c r="D26" s="48" t="n">
        <x:v>63075.19359652768</x:v>
      </x:c>
      <x:c r="E26" s="48" t="n">
        <x:v>67182.60221916564</x:v>
      </x:c>
      <x:c r="F26" s="48" t="n">
        <x:v>9593.4</x:v>
      </x:c>
      <x:c r="G26" s="48" t="n">
        <x:v>144912.14618495823</x:v>
      </x:c>
      <x:c r="H26" s="48" t="n">
        <x:v>0</x:v>
      </x:c>
      <x:c r="I26" s="48" t="n">
        <x:v>24000</x:v>
      </x:c>
      <x:c r="J26" s="48" t="n">
        <x:v>0</x:v>
      </x:c>
      <x:c r="K26" s="48" t="n">
        <x:v>0</x:v>
      </x:c>
      <x:c r="L26" s="48" t="n">
        <x:v>0</x:v>
      </x:c>
      <x:c r="M26" s="48" t="n">
        <x:v>0</x:v>
      </x:c>
      <x:c r="N26" s="48" t="n">
        <x:v>0</x:v>
      </x:c>
      <x:c r="O26" s="48" t="n">
        <x:v>0</x:v>
      </x:c>
      <x:c r="P26" s="48" t="n">
        <x:v>0</x:v>
      </x:c>
      <x:c r="Q26" s="48" t="n">
        <x:v>0</x:v>
      </x:c>
      <x:c r="R26" s="48" t="n">
        <x:v>0</x:v>
      </x:c>
      <x:c r="S26" s="188" t="b">
        <x:v>0</x:v>
      </x:c>
      <x:c r="T26" s="48" t="str"/>
      <x:c r="U26" s="48" t="n">
        <x:v>0</x:v>
      </x:c>
      <x:c r="V26" s="48" t="n">
        <x:v>130257.79581569332</x:v>
      </x:c>
      <x:c r="W26" s="48" t="n">
        <x:v>110719.12644333932</x:v>
      </x:c>
      <x:c r="X26" s="48" t="n">
        <x:v>289224.6726282975</x:v>
      </x:c>
      <x:c r="Y26" s="48" t="n">
        <x:v>35500</x:v>
      </x:c>
      <x:c r="Z26" s="48" t="n">
        <x:v>253724.67262829753</x:v>
      </x:c>
      <x:c r="AA26" s="48" t="n">
        <x:v>46089.92143079141</x:v>
      </x:c>
      <x:c r="AB26" s="48" t="n">
        <x:v>0</x:v>
      </x:c>
      <x:c r="AC26" s="48" t="n">
        <x:v>5589.6</x:v>
      </x:c>
      <x:c r="AD26" s="48" t="n">
        <x:v>153741.70571451992</x:v>
      </x:c>
      <x:c r="AE26" s="48" t="n">
        <x:v>103342.11485534022</x:v>
      </x:c>
      <x:c r="AF26" s="48" t="n">
        <x:v>103342.11485534022</x:v>
      </x:c>
      <x:c r="AG26" s="48" t="n">
        <x:v>0</x:v>
      </x:c>
      <x:c r="AH26" s="48" t="n">
        <x:v>0</x:v>
      </x:c>
      <x:c r="AI26" s="48" t="n">
        <x:v>0</x:v>
      </x:c>
      <x:c r="AJ26" s="48" t="n">
        <x:v>1493868.764895472</x:v>
      </x:c>
      <x:c r="AK26" s="48" t="n">
        <x:v>1384048.901746654</x:v>
      </x:c>
      <x:c r="AL26" s="48" t="n">
        <x:v>507953.2411349083</x:v>
      </x:c>
      <x:c r="AM26" s="48" t="n">
        <x:v>2221195.509950803</x:v>
      </x:c>
      <x:c r="AN26" s="48" t="n">
        <x:v>5607066.417727837</x:v>
      </x:c>
      <x:c r="AO26" s="48" t="n">
        <x:v>0</x:v>
      </x:c>
    </x:row>
    <x:row r="27">
      <x:c r="A27" t="n">
        <x:v>2051</x:v>
      </x:c>
      <x:c r="B27" t="n">
        <x:v>93</x:v>
      </x:c>
      <x:c r="C27" t="n">
        <x:v>90</x:v>
      </x:c>
      <x:c r="D27" s="48" t="n">
        <x:v>64652.07343644087</x:v>
      </x:c>
      <x:c r="E27" s="48" t="n">
        <x:v>68862.16727464477</x:v>
      </x:c>
      <x:c r="F27" s="48" t="n">
        <x:v>9593.4</x:v>
      </x:c>
      <x:c r="G27" s="48" t="n">
        <x:v>147907.7985045022</x:v>
      </x:c>
      <x:c r="H27" s="48" t="n">
        <x:v>0</x:v>
      </x:c>
      <x:c r="I27" s="48" t="n">
        <x:v>24000</x:v>
      </x:c>
      <x:c r="J27" s="48" t="n">
        <x:v>0</x:v>
      </x:c>
      <x:c r="K27" s="48" t="n">
        <x:v>0</x:v>
      </x:c>
      <x:c r="L27" s="48" t="n">
        <x:v>0</x:v>
      </x:c>
      <x:c r="M27" s="48" t="n">
        <x:v>0</x:v>
      </x:c>
      <x:c r="N27" s="48" t="n">
        <x:v>0</x:v>
      </x:c>
      <x:c r="O27" s="48" t="n">
        <x:v>0</x:v>
      </x:c>
      <x:c r="P27" s="48" t="n">
        <x:v>0</x:v>
      </x:c>
      <x:c r="Q27" s="48" t="n">
        <x:v>0</x:v>
      </x:c>
      <x:c r="R27" s="48" t="n">
        <x:v>0</x:v>
      </x:c>
      <x:c r="S27" s="188" t="b">
        <x:v>0</x:v>
      </x:c>
      <x:c r="T27" s="48" t="str"/>
      <x:c r="U27" s="48" t="n">
        <x:v>0</x:v>
      </x:c>
      <x:c r="V27" s="48" t="n">
        <x:v>133514.24071108564</x:v>
      </x:c>
      <x:c r="W27" s="48" t="n">
        <x:v>113487.1046044228</x:v>
      </x:c>
      <x:c r="X27" s="48" t="n">
        <x:v>294988.303108925</x:v>
      </x:c>
      <x:c r="Y27" s="48" t="n">
        <x:v>35500</x:v>
      </x:c>
      <x:c r="Z27" s="48" t="n">
        <x:v>259488.303108925</x:v>
      </x:c>
      <x:c r="AA27" s="48" t="n">
        <x:v>47473.192746142</x:v>
      </x:c>
      <x:c r="AB27" s="48" t="n">
        <x:v>0</x:v>
      </x:c>
      <x:c r="AC27" s="48" t="n">
        <x:v>5589.6</x:v>
      </x:c>
      <x:c r="AD27" s="48" t="n">
        <x:v>157585.2483573829</x:v>
      </x:c>
      <x:c r="AE27" s="48" t="n">
        <x:v>104367.39811206292</x:v>
      </x:c>
      <x:c r="AF27" s="48" t="n">
        <x:v>104367.39811206292</x:v>
      </x:c>
      <x:c r="AG27" s="48" t="n">
        <x:v>0</x:v>
      </x:c>
      <x:c r="AH27" s="48" t="n">
        <x:v>0</x:v>
      </x:c>
      <x:c r="AI27" s="48" t="n">
        <x:v>0</x:v>
      </x:c>
      <x:c r="AJ27" s="48" t="n">
        <x:v>1414498.2340383376</x:v>
      </x:c>
      <x:c r="AK27" s="48" t="n">
        <x:v>1480932.3248689198</x:v>
      </x:c>
      <x:c r="AL27" s="48" t="n">
        <x:v>533350.9031916537</x:v>
      </x:c>
      <x:c r="AM27" s="48" t="n">
        <x:v>2372074.1662241234</x:v>
      </x:c>
      <x:c r="AN27" s="48" t="n">
        <x:v>5800855.628323034</x:v>
      </x:c>
      <x:c r="AO27" s="48" t="n">
        <x:v>0</x:v>
      </x:c>
    </x:row>
    <x:row r="28">
      <x:c r="A28" t="n">
        <x:v>2052</x:v>
      </x:c>
      <x:c r="B28" t="n">
        <x:v>94</x:v>
      </x:c>
      <x:c r="C28" t="n">
        <x:v>91</x:v>
      </x:c>
      <x:c r="D28" s="48" t="n">
        <x:v>66268.37527235188</x:v>
      </x:c>
      <x:c r="E28" s="48" t="n">
        <x:v>70583.72145651089</x:v>
      </x:c>
      <x:c r="F28" s="48" t="n">
        <x:v>9593.4</x:v>
      </x:c>
      <x:c r="G28" s="48" t="n">
        <x:v>148894.55095140394</x:v>
      </x:c>
      <x:c r="H28" s="48" t="n">
        <x:v>0</x:v>
      </x:c>
      <x:c r="I28" s="48" t="n">
        <x:v>24000</x:v>
      </x:c>
      <x:c r="J28" s="48" t="n">
        <x:v>0</x:v>
      </x:c>
      <x:c r="K28" s="48" t="n">
        <x:v>0</x:v>
      </x:c>
      <x:c r="L28" s="48" t="n">
        <x:v>0</x:v>
      </x:c>
      <x:c r="M28" s="48" t="n">
        <x:v>0</x:v>
      </x:c>
      <x:c r="N28" s="48" t="n">
        <x:v>0</x:v>
      </x:c>
      <x:c r="O28" s="48" t="n">
        <x:v>0</x:v>
      </x:c>
      <x:c r="P28" s="48" t="n">
        <x:v>0</x:v>
      </x:c>
      <x:c r="Q28" s="48" t="n">
        <x:v>0</x:v>
      </x:c>
      <x:c r="R28" s="48" t="n">
        <x:v>0</x:v>
      </x:c>
      <x:c r="S28" s="188" t="b">
        <x:v>0</x:v>
      </x:c>
      <x:c r="T28" s="48" t="str"/>
      <x:c r="U28" s="48" t="n">
        <x:v>0</x:v>
      </x:c>
      <x:c r="V28" s="48" t="n">
        <x:v>136852.0967288628</x:v>
      </x:c>
      <x:c r="W28" s="48" t="n">
        <x:v>116324.28221953337</x:v>
      </x:c>
      <x:c r="X28" s="48" t="n">
        <x:v>298812.2331709373</x:v>
      </x:c>
      <x:c r="Y28" s="48" t="n">
        <x:v>35500</x:v>
      </x:c>
      <x:c r="Z28" s="48" t="n">
        <x:v>263312.2331709373</x:v>
      </x:c>
      <x:c r="AA28" s="48" t="n">
        <x:v>48390.935961024945</x:v>
      </x:c>
      <x:c r="AB28" s="48" t="n">
        <x:v>0</x:v>
      </x:c>
      <x:c r="AC28" s="48" t="n">
        <x:v>5589.6</x:v>
      </x:c>
      <x:c r="AD28" s="48" t="n">
        <x:v>161524.87956631745</x:v>
      </x:c>
      <x:c r="AE28" s="48" t="n">
        <x:v>103834.63215292434</x:v>
      </x:c>
      <x:c r="AF28" s="48" t="n">
        <x:v>103834.63215292434</x:v>
      </x:c>
      <x:c r="AG28" s="48" t="n">
        <x:v>0</x:v>
      </x:c>
      <x:c r="AH28" s="48" t="n">
        <x:v>0</x:v>
      </x:c>
      <x:c r="AI28" s="48" t="n">
        <x:v>0</x:v>
      </x:c>
      <x:c r="AJ28" s="48" t="n">
        <x:v>1328515.940903019</x:v>
      </x:c>
      <x:c r="AK28" s="48" t="n">
        <x:v>1584597.5876097442</x:v>
      </x:c>
      <x:c r="AL28" s="48" t="n">
        <x:v>560018.4483512364</x:v>
      </x:c>
      <x:c r="AM28" s="48" t="n">
        <x:v>2525426.974344589</x:v>
      </x:c>
      <x:c r="AN28" s="48" t="n">
        <x:v>5998558.951208588</x:v>
      </x:c>
      <x:c r="AO28" s="48" t="n">
        <x:v>0</x:v>
      </x:c>
    </x:row>
    <x:row r="29">
      <x:c r="A29" t="n">
        <x:v>2053</x:v>
      </x:c>
      <x:c r="B29" t="n">
        <x:v>95</x:v>
      </x:c>
      <x:c r="C29" t="n">
        <x:v>92</x:v>
      </x:c>
      <x:c r="D29" s="48" t="n">
        <x:v>67925.08465416067</x:v>
      </x:c>
      <x:c r="E29" s="48" t="n">
        <x:v>72348.31449292366</x:v>
      </x:c>
      <x:c r="F29" s="48" t="n">
        <x:v>9593.4</x:v>
      </x:c>
      <x:c r="G29" s="48" t="n">
        <x:v>149271.45403404706</x:v>
      </x:c>
      <x:c r="H29" s="48" t="n">
        <x:v>0</x:v>
      </x:c>
      <x:c r="I29" s="48" t="n">
        <x:v>24000</x:v>
      </x:c>
      <x:c r="J29" s="48" t="n">
        <x:v>0</x:v>
      </x:c>
      <x:c r="K29" s="48" t="n">
        <x:v>0</x:v>
      </x:c>
      <x:c r="L29" s="48" t="n">
        <x:v>0</x:v>
      </x:c>
      <x:c r="M29" s="48" t="n">
        <x:v>0</x:v>
      </x:c>
      <x:c r="N29" s="48" t="n">
        <x:v>0</x:v>
      </x:c>
      <x:c r="O29" s="48" t="n">
        <x:v>0</x:v>
      </x:c>
      <x:c r="P29" s="48" t="n">
        <x:v>0</x:v>
      </x:c>
      <x:c r="Q29" s="48" t="n">
        <x:v>0</x:v>
      </x:c>
      <x:c r="R29" s="48" t="n">
        <x:v>0</x:v>
      </x:c>
      <x:c r="S29" s="188" t="b">
        <x:v>0</x:v>
      </x:c>
      <x:c r="T29" s="48" t="str"/>
      <x:c r="U29" s="48" t="n">
        <x:v>0</x:v>
      </x:c>
      <x:c r="V29" s="48" t="n">
        <x:v>140273.39914708433</x:v>
      </x:c>
      <x:c r="W29" s="48" t="n">
        <x:v>119232.38927502168</x:v>
      </x:c>
      <x:c r="X29" s="48" t="n">
        <x:v>302097.2433090687</x:v>
      </x:c>
      <x:c r="Y29" s="48" t="n">
        <x:v>35500</x:v>
      </x:c>
      <x:c r="Z29" s="48" t="n">
        <x:v>266597.2433090687</x:v>
      </x:c>
      <x:c r="AA29" s="48" t="n">
        <x:v>49179.33839417649</x:v>
      </x:c>
      <x:c r="AB29" s="48" t="n">
        <x:v>0</x:v>
      </x:c>
      <x:c r="AC29" s="48" t="n">
        <x:v>5589.6</x:v>
      </x:c>
      <x:c r="AD29" s="48" t="n">
        <x:v>165563.00155547538</x:v>
      </x:c>
      <x:c r="AE29" s="48" t="n">
        <x:v>102806.31323147952</x:v>
      </x:c>
      <x:c r="AF29" s="48" t="n">
        <x:v>102806.31323147952</x:v>
      </x:c>
      <x:c r="AG29" s="48" t="n">
        <x:v>0</x:v>
      </x:c>
      <x:c r="AH29" s="48" t="n">
        <x:v>0</x:v>
      </x:c>
      <x:c r="AI29" s="48" t="n">
        <x:v>0</x:v>
      </x:c>
      <x:c r="AJ29" s="48" t="n">
        <x:v>1236111.6009498</x:v>
      </x:c>
      <x:c r="AK29" s="48" t="n">
        <x:v>1695519.4187424264</x:v>
      </x:c>
      <x:c r="AL29" s="48" t="n">
        <x:v>588019.3707687983</x:v>
      </x:c>
      <x:c r="AM29" s="48" t="n">
        <x:v>2680797.9533275897</x:v>
      </x:c>
      <x:c r="AN29" s="48" t="n">
        <x:v>6200448.3437886145</x:v>
      </x:c>
      <x:c r="AO29" s="48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9" t="str">
        <x:v>scenario_id</x:v>
      </x:c>
      <x:c r="B1" s="9" t="str">
        <x:v>name</x:v>
      </x:c>
      <x:c r="C1" s="9" t="str">
        <x:v>claim_age</x:v>
      </x:c>
      <x:c r="D1" s="9" t="str">
        <x:v>annual_roth_conversion</x:v>
      </x:c>
      <x:c r="E1" s="9" t="str">
        <x:v>ending_portfolio</x:v>
      </x:c>
      <x:c r="F1" s="9" t="str">
        <x:v>lifetime_federal_tax</x:v>
      </x:c>
      <x:c r="G1" s="9" t="str">
        <x:v>lifetime_state_tax</x:v>
      </x:c>
      <x:c r="H1" s="9" t="str">
        <x:v>lifetime_irmaa</x:v>
      </x:c>
      <x:c r="I1" s="9" t="str">
        <x:v>lifetime_tax_cost</x:v>
      </x:c>
      <x:c r="J1" s="9" t="str">
        <x:v>success_probability</x:v>
      </x:c>
    </x:row>
    <x:row r="2">
      <x:c r="A2" t="str">
        <x:v>ss65_roth100000</x:v>
      </x:c>
      <x:c r="B2" t="str">
        <x:v>SS 65, Roth $100,000</x:v>
      </x:c>
      <x:c r="C2" t="str">
        <x:v>65</x:v>
      </x:c>
      <x:c r="D2" t="str">
        <x:v>100000.0</x:v>
      </x:c>
      <x:c r="E2" t="str">
        <x:v>7722906.779123465</x:v>
      </x:c>
      <x:c r="F2" t="str">
        <x:v>748591.5459026172</x:v>
      </x:c>
      <x:c r="G2" t="str">
        <x:v>0.0</x:v>
      </x:c>
      <x:c r="H2" t="str">
        <x:v>40137.600000000006</x:v>
      </x:c>
      <x:c r="I2" t="str">
        <x:v>788729.1459026171</x:v>
      </x:c>
      <x:c r="J2" t="str">
        <x:v>1.0</x:v>
      </x:c>
    </x:row>
    <x:row r="3">
      <x:c r="A3" t="str">
        <x:v>ss65_base</x:v>
      </x:c>
      <x:c r="B3" t="str">
        <x:v>SS 65 Base</x:v>
      </x:c>
      <x:c r="C3" t="str">
        <x:v>65</x:v>
      </x:c>
      <x:c r="D3" t="str">
        <x:v>50000</x:v>
      </x:c>
      <x:c r="E3" t="str">
        <x:v>7350300.723907318</x:v>
      </x:c>
      <x:c r="F3" t="str">
        <x:v>837615.8706274307</x:v>
      </x:c>
      <x:c r="G3" t="str">
        <x:v>0.0</x:v>
      </x:c>
      <x:c r="H3" t="str">
        <x:v>59196.0</x:v>
      </x:c>
      <x:c r="I3" t="str">
        <x:v>896811.8706274307</x:v>
      </x:c>
      <x:c r="J3" t="str">
        <x:v>1.0</x:v>
      </x:c>
    </x:row>
    <x:row r="4">
      <x:c r="A4" t="str">
        <x:v>ss67_base</x:v>
      </x:c>
      <x:c r="B4" t="str">
        <x:v>SS 67 Base</x:v>
      </x:c>
      <x:c r="C4" t="str">
        <x:v>67</x:v>
      </x:c>
      <x:c r="D4" t="str">
        <x:v>50000</x:v>
      </x:c>
      <x:c r="E4" t="str">
        <x:v>7288323.097427217</x:v>
      </x:c>
      <x:c r="F4" t="str">
        <x:v>857507.8212181629</x:v>
      </x:c>
      <x:c r="G4" t="str">
        <x:v>0.0</x:v>
      </x:c>
      <x:c r="H4" t="str">
        <x:v>64785.6</x:v>
      </x:c>
      <x:c r="I4" t="str">
        <x:v>922293.4212181629</x:v>
      </x:c>
      <x:c r="J4" t="str">
        <x:v>1.0</x:v>
      </x:c>
    </x:row>
    <x:row r="5">
      <x:c r="A5" t="str">
        <x:v>ss70_base</x:v>
      </x:c>
      <x:c r="B5" t="str">
        <x:v>SS 70 Base</x:v>
      </x:c>
      <x:c r="C5" t="str">
        <x:v>70</x:v>
      </x:c>
      <x:c r="D5" t="str">
        <x:v>50000</x:v>
      </x:c>
      <x:c r="E5" t="str">
        <x:v>7156963.593755607</x:v>
      </x:c>
      <x:c r="F5" t="str">
        <x:v>853182.9729567518</x:v>
      </x:c>
      <x:c r="G5" t="str">
        <x:v>0.0</x:v>
      </x:c>
      <x:c r="H5" t="str">
        <x:v>64785.6</x:v>
      </x:c>
      <x:c r="I5" t="str">
        <x:v>917968.5729567518</x:v>
      </x:c>
      <x:c r="J5" t="str">
        <x:v>1.0</x:v>
      </x:c>
    </x:row>
  </x:sheetData>
  <x:pageMargins left="0.7" right="0.7" top="0.75" bottom="0.75" header="0.3" footer="0.3"/>
  <x:drawing xmlns:r="http://schemas.openxmlformats.org/officeDocument/2006/relationships" r:id="R774b88672ca741e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8" hidden="0" customWidth="1"/>
    <x:col min="10" max="10" width="18" hidden="0" customWidth="1"/>
  </x:cols>
  <x:sheetData>
    <x:row r="1">
      <x:c r="A1" s="3" t="str">
        <x:v>Roth Conversion Bracket-Fill Optimizer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>
      <x:c r="A4" s="9" t="str">
        <x:v>Age</x:v>
      </x:c>
      <x:c r="B4" s="9" t="str">
        <x:v>Current Taxable Income</x:v>
      </x:c>
      <x:c r="C4" s="9" t="str">
        <x:v>Target Bracket Ceiling</x:v>
      </x:c>
      <x:c r="D4" s="9" t="str">
        <x:v>Room Remaining</x:v>
      </x:c>
      <x:c r="E4" s="9" t="str">
        <x:v>IRA Balance</x:v>
      </x:c>
      <x:c r="F4" s="9" t="str">
        <x:v>Recommended Conversion</x:v>
      </x:c>
      <x:c r="G4" s="9" t="str">
        <x:v>Estimated Current Tax</x:v>
      </x:c>
      <x:c r="H4" s="9" t="str">
        <x:v>IRMAA Flag</x:v>
      </x:c>
      <x:c r="I4" s="9" t="str">
        <x:v>Future Rate</x:v>
      </x:c>
      <x:c r="J4" s="9" t="str">
        <x:v>Estimated Net Benefit</x:v>
      </x:c>
    </x:row>
    <x:row r="5">
      <x:c r="A5" t="n">
        <x:v>68</x:v>
      </x:c>
      <x:c r="B5" s="48" t="n">
        <x:f>IFERROR(INDEX(Projection!$E:$E,MATCH(A5,Projection!$B:$B,0)),0)</x:f>
        <x:v>0</x:v>
      </x:c>
      <x:c r="C5" s="48" t="n">
        <x:f>'2026 Tax Tables'!$B$7</x:f>
        <x:v>211400</x:v>
      </x:c>
      <x:c r="D5" s="48" t="n">
        <x:f>MAX(0,C5-B5)</x:f>
        <x:v>211400</x:v>
      </x:c>
      <x:c r="E5" s="48" t="n">
        <x:f>IFERROR(INDEX(Projection!$J:$J,MATCH(A5,Projection!$B:$B,0)),0)</x:f>
        <x:v>0</x:v>
      </x:c>
      <x:c r="F5" s="48" t="n">
        <x:f>MIN(D5,E5)</x:f>
        <x:v>0</x:v>
      </x:c>
      <x:c r="G5" s="48" t="n">
        <x:f>F5*0.22</x:f>
        <x:v>0</x:v>
      </x:c>
      <x:c r="H5" t="str">
        <x:f>IF(B5+F5&gt;IRMAA!$C$5,"Review","OK")</x:f>
        <x:v>OK</x:v>
      </x:c>
      <x:c r="I5" s="50" t="n">
        <x:v>0.24</x:v>
      </x:c>
      <x:c r="J5" s="48" t="n">
        <x:f>F5*(I5-0.22)</x:f>
        <x:v>0</x:v>
      </x:c>
    </x:row>
    <x:row r="6">
      <x:c r="A6" t="n">
        <x:v>69</x:v>
      </x:c>
      <x:c r="B6" s="48" t="n">
        <x:f>IFERROR(INDEX(Projection!$E:$E,MATCH(A6,Projection!$B:$B,0)),0)</x:f>
        <x:v>0</x:v>
      </x:c>
      <x:c r="C6" s="48" t="n">
        <x:f>'2026 Tax Tables'!$B$7</x:f>
        <x:v>211400</x:v>
      </x:c>
      <x:c r="D6" s="48" t="n">
        <x:f>MAX(0,C6-B6)</x:f>
        <x:v>211400</x:v>
      </x:c>
      <x:c r="E6" s="48" t="n">
        <x:f>IFERROR(INDEX(Projection!$J:$J,MATCH(A6,Projection!$B:$B,0)),0)</x:f>
        <x:v>0</x:v>
      </x:c>
      <x:c r="F6" s="48" t="n">
        <x:f>MIN(D6,E6)</x:f>
        <x:v>0</x:v>
      </x:c>
      <x:c r="G6" s="48" t="n">
        <x:f>F6*0.22</x:f>
        <x:v>0</x:v>
      </x:c>
      <x:c r="H6" t="str">
        <x:f>IF(B6+F6&gt;IRMAA!$C$5,"Review","OK")</x:f>
        <x:v>OK</x:v>
      </x:c>
      <x:c r="I6" s="50" t="n">
        <x:v>0.24</x:v>
      </x:c>
      <x:c r="J6" s="48" t="n">
        <x:f>F6*(I6-0.22)</x:f>
        <x:v>0</x:v>
      </x:c>
    </x:row>
    <x:row r="7">
      <x:c r="A7" t="n">
        <x:v>70</x:v>
      </x:c>
      <x:c r="B7" s="48" t="n">
        <x:f>IFERROR(INDEX(Projection!$E:$E,MATCH(A7,Projection!$B:$B,0)),0)</x:f>
        <x:v>39024</x:v>
      </x:c>
      <x:c r="C7" s="48" t="n">
        <x:f>'2026 Tax Tables'!$B$7</x:f>
        <x:v>211400</x:v>
      </x:c>
      <x:c r="D7" s="48" t="n">
        <x:f>MAX(0,C7-B7)</x:f>
        <x:v>172376</x:v>
      </x:c>
      <x:c r="E7" s="48" t="n">
        <x:f>IFERROR(INDEX(Projection!$J:$J,MATCH(A7,Projection!$B:$B,0)),0)</x:f>
        <x:v>0</x:v>
      </x:c>
      <x:c r="F7" s="48" t="n">
        <x:f>MIN(D7,E7)</x:f>
        <x:v>0</x:v>
      </x:c>
      <x:c r="G7" s="48" t="n">
        <x:f>F7*0.22</x:f>
        <x:v>0</x:v>
      </x:c>
      <x:c r="H7" t="str">
        <x:f>IF(B7+F7&gt;IRMAA!$C$5,"Review","OK")</x:f>
        <x:v>OK</x:v>
      </x:c>
      <x:c r="I7" s="50" t="n">
        <x:v>0.24</x:v>
      </x:c>
      <x:c r="J7" s="48" t="n">
        <x:f>F7*(I7-0.22)</x:f>
        <x:v>0</x:v>
      </x:c>
    </x:row>
    <x:row r="8">
      <x:c r="A8" t="n">
        <x:v>71</x:v>
      </x:c>
      <x:c r="B8" s="48" t="n">
        <x:f>IFERROR(INDEX(Projection!$E:$E,MATCH(A8,Projection!$B:$B,0)),0)</x:f>
        <x:v>39999.6</x:v>
      </x:c>
      <x:c r="C8" s="48" t="n">
        <x:f>'2026 Tax Tables'!$B$7</x:f>
        <x:v>211400</x:v>
      </x:c>
      <x:c r="D8" s="48" t="n">
        <x:f>MAX(0,C8-B8)</x:f>
        <x:v>171400.4</x:v>
      </x:c>
      <x:c r="E8" s="48" t="n">
        <x:f>IFERROR(INDEX(Projection!$J:$J,MATCH(A8,Projection!$B:$B,0)),0)</x:f>
        <x:v>0</x:v>
      </x:c>
      <x:c r="F8" s="48" t="n">
        <x:f>MIN(D8,E8)</x:f>
        <x:v>0</x:v>
      </x:c>
      <x:c r="G8" s="48" t="n">
        <x:f>F8*0.22</x:f>
        <x:v>0</x:v>
      </x:c>
      <x:c r="H8" t="str">
        <x:f>IF(B8+F8&gt;IRMAA!$C$5,"Review","OK")</x:f>
        <x:v>OK</x:v>
      </x:c>
      <x:c r="I8" s="50" t="n">
        <x:v>0.24</x:v>
      </x:c>
      <x:c r="J8" s="48" t="n">
        <x:f>F8*(I8-0.22)</x:f>
        <x:v>0</x:v>
      </x:c>
    </x:row>
    <x:row r="9">
      <x:c r="A9" t="n">
        <x:v>72</x:v>
      </x:c>
      <x:c r="B9" s="48" t="n">
        <x:f>IFERROR(INDEX(Projection!$E:$E,MATCH(A9,Projection!$B:$B,0)),0)</x:f>
        <x:v>40999.59</x:v>
      </x:c>
      <x:c r="C9" s="48" t="n">
        <x:f>'2026 Tax Tables'!$B$7</x:f>
        <x:v>211400</x:v>
      </x:c>
      <x:c r="D9" s="48" t="n">
        <x:f>MAX(0,C9-B9)</x:f>
        <x:v>170400.41</x:v>
      </x:c>
      <x:c r="E9" s="48" t="n">
        <x:f>IFERROR(INDEX(Projection!$J:$J,MATCH(A9,Projection!$B:$B,0)),0)</x:f>
        <x:v>0</x:v>
      </x:c>
      <x:c r="F9" s="48" t="n">
        <x:f>MIN(D9,E9)</x:f>
        <x:v>0</x:v>
      </x:c>
      <x:c r="G9" s="48" t="n">
        <x:f>F9*0.22</x:f>
        <x:v>0</x:v>
      </x:c>
      <x:c r="H9" t="str">
        <x:f>IF(B9+F9&gt;IRMAA!$C$5,"Review","OK")</x:f>
        <x:v>OK</x:v>
      </x:c>
      <x:c r="I9" s="50" t="n">
        <x:v>0.24</x:v>
      </x:c>
      <x:c r="J9" s="48" t="n">
        <x:f>F9*(I9-0.22)</x:f>
        <x:v>0</x:v>
      </x:c>
    </x:row>
    <x:row r="10">
      <x:c r="A10" t="n">
        <x:v>73</x:v>
      </x:c>
      <x:c r="B10" s="48" t="n">
        <x:f>IFERROR(INDEX(Projection!$E:$E,MATCH(A10,Projection!$B:$B,0)),0)</x:f>
        <x:v>42024.57974999999</x:v>
      </x:c>
      <x:c r="C10" s="48" t="n">
        <x:f>'2026 Tax Tables'!$B$7</x:f>
        <x:v>211400</x:v>
      </x:c>
      <x:c r="D10" s="48" t="n">
        <x:f>MAX(0,C10-B10)</x:f>
        <x:v>169375.42025000002</x:v>
      </x:c>
      <x:c r="E10" s="48" t="n">
        <x:f>IFERROR(INDEX(Projection!$J:$J,MATCH(A10,Projection!$B:$B,0)),0)</x:f>
        <x:v>0</x:v>
      </x:c>
      <x:c r="F10" s="48" t="n">
        <x:f>MIN(D10,E10)</x:f>
        <x:v>0</x:v>
      </x:c>
      <x:c r="G10" s="48" t="n">
        <x:f>F10*0.22</x:f>
        <x:v>0</x:v>
      </x:c>
      <x:c r="H10" t="str">
        <x:f>IF(B10+F10&gt;IRMAA!$C$5,"Review","OK")</x:f>
        <x:v>OK</x:v>
      </x:c>
      <x:c r="I10" s="50" t="n">
        <x:v>0.24</x:v>
      </x:c>
      <x:c r="J10" s="48" t="n">
        <x:f>F10*(I10-0.22)</x:f>
        <x:v>0</x:v>
      </x:c>
    </x:row>
    <x:row r="11">
      <x:c r="A11" t="n">
        <x:v>74</x:v>
      </x:c>
      <x:c r="B11" s="48" t="n">
        <x:f>IFERROR(INDEX(Projection!$E:$E,MATCH(A11,Projection!$B:$B,0)),0)</x:f>
        <x:v>43075.19424374998</x:v>
      </x:c>
      <x:c r="C11" s="48" t="n">
        <x:f>'2026 Tax Tables'!$B$7</x:f>
        <x:v>211400</x:v>
      </x:c>
      <x:c r="D11" s="48" t="n">
        <x:f>MAX(0,C11-B11)</x:f>
        <x:v>168324.80575625002</x:v>
      </x:c>
      <x:c r="E11" s="48" t="n">
        <x:f>IFERROR(INDEX(Projection!$J:$J,MATCH(A11,Projection!$B:$B,0)),0)</x:f>
        <x:v>0</x:v>
      </x:c>
      <x:c r="F11" s="48" t="n">
        <x:f>MIN(D11,E11)</x:f>
        <x:v>0</x:v>
      </x:c>
      <x:c r="G11" s="48" t="n">
        <x:f>F11*0.22</x:f>
        <x:v>0</x:v>
      </x:c>
      <x:c r="H11" t="str">
        <x:f>IF(B11+F11&gt;IRMAA!$C$5,"Review","OK")</x:f>
        <x:v>OK</x:v>
      </x:c>
      <x:c r="I11" s="50" t="n">
        <x:v>0.24</x:v>
      </x:c>
      <x:c r="J11" s="48" t="n">
        <x:f>F11*(I11-0.22)</x:f>
        <x:v>0</x:v>
      </x:c>
    </x:row>
    <x:row r="12">
      <x:c r="A12" t="n">
        <x:v>75</x:v>
      </x:c>
      <x:c r="B12" s="48" t="n">
        <x:f>IFERROR(INDEX(Projection!$E:$E,MATCH(A12,Projection!$B:$B,0)),0)</x:f>
        <x:v>44152.074099843725</x:v>
      </x:c>
      <x:c r="C12" s="48" t="n">
        <x:f>'2026 Tax Tables'!$B$7</x:f>
        <x:v>211400</x:v>
      </x:c>
      <x:c r="D12" s="48" t="n">
        <x:f>MAX(0,C12-B12)</x:f>
        <x:v>167247.92590015626</x:v>
      </x:c>
      <x:c r="E12" s="48" t="n">
        <x:f>IFERROR(INDEX(Projection!$J:$J,MATCH(A12,Projection!$B:$B,0)),0)</x:f>
        <x:v>0</x:v>
      </x:c>
      <x:c r="F12" s="48" t="n">
        <x:f>MIN(D12,E12)</x:f>
        <x:v>0</x:v>
      </x:c>
      <x:c r="G12" s="48" t="n">
        <x:f>F12*0.22</x:f>
        <x:v>0</x:v>
      </x:c>
      <x:c r="H12" t="str">
        <x:f>IF(B12+F12&gt;IRMAA!$C$5,"Review","OK")</x:f>
        <x:v>OK</x:v>
      </x:c>
      <x:c r="I12" s="50" t="n">
        <x:v>0.24</x:v>
      </x:c>
      <x:c r="J12" s="48" t="n">
        <x:f>F12*(I12-0.22)</x:f>
        <x:v>0</x:v>
      </x:c>
    </x:row>
    <x:row r="13">
      <x:c r="A13" t="n">
        <x:v>76</x:v>
      </x:c>
      <x:c r="B13" s="48" t="n">
        <x:f>IFERROR(INDEX(Projection!$E:$E,MATCH(A13,Projection!$B:$B,0)),0)</x:f>
        <x:v>45255.87595233982</x:v>
      </x:c>
      <x:c r="C13" s="48" t="n">
        <x:f>'2026 Tax Tables'!$B$7</x:f>
        <x:v>211400</x:v>
      </x:c>
      <x:c r="D13" s="48" t="n">
        <x:f>MAX(0,C13-B13)</x:f>
        <x:v>166144.12404766018</x:v>
      </x:c>
      <x:c r="E13" s="48" t="n">
        <x:f>IFERROR(INDEX(Projection!$J:$J,MATCH(A13,Projection!$B:$B,0)),0)</x:f>
        <x:v>0</x:v>
      </x:c>
      <x:c r="F13" s="48" t="n">
        <x:f>MIN(D13,E13)</x:f>
        <x:v>0</x:v>
      </x:c>
      <x:c r="G13" s="48" t="n">
        <x:f>F13*0.22</x:f>
        <x:v>0</x:v>
      </x:c>
      <x:c r="H13" t="str">
        <x:f>IF(B13+F13&gt;IRMAA!$C$5,"Review","OK")</x:f>
        <x:v>OK</x:v>
      </x:c>
      <x:c r="I13" s="50" t="n">
        <x:v>0.24</x:v>
      </x:c>
      <x:c r="J13" s="48" t="n">
        <x:f>F13*(I13-0.22)</x:f>
        <x:v>0</x:v>
      </x:c>
    </x:row>
    <x:row r="14">
      <x:c r="A14" t="n">
        <x:v>77</x:v>
      </x:c>
      <x:c r="B14" s="48" t="n">
        <x:f>IFERROR(INDEX(Projection!$E:$E,MATCH(A14,Projection!$B:$B,0)),0)</x:f>
        <x:v>46387.272851148315</x:v>
      </x:c>
      <x:c r="C14" s="48" t="n">
        <x:f>'2026 Tax Tables'!$B$7</x:f>
        <x:v>211400</x:v>
      </x:c>
      <x:c r="D14" s="48" t="n">
        <x:f>MAX(0,C14-B14)</x:f>
        <x:v>165012.72714885167</x:v>
      </x:c>
      <x:c r="E14" s="48" t="n">
        <x:f>IFERROR(INDEX(Projection!$J:$J,MATCH(A14,Projection!$B:$B,0)),0)</x:f>
        <x:v>0</x:v>
      </x:c>
      <x:c r="F14" s="48" t="n">
        <x:f>MIN(D14,E14)</x:f>
        <x:v>0</x:v>
      </x:c>
      <x:c r="G14" s="48" t="n">
        <x:f>F14*0.22</x:f>
        <x:v>0</x:v>
      </x:c>
      <x:c r="H14" t="str">
        <x:f>IF(B14+F14&gt;IRMAA!$C$5,"Review","OK")</x:f>
        <x:v>OK</x:v>
      </x:c>
      <x:c r="I14" s="50" t="n">
        <x:v>0.24</x:v>
      </x:c>
      <x:c r="J14" s="48" t="n">
        <x:f>F14*(I14-0.22)</x:f>
        <x:v>0</x:v>
      </x:c>
    </x:row>
    <x:row r="15">
      <x:c r="A15" t="n">
        <x:v>78</x:v>
      </x:c>
      <x:c r="B15" s="48" t="n">
        <x:f>IFERROR(INDEX(Projection!$E:$E,MATCH(A15,Projection!$B:$B,0)),0)</x:f>
        <x:v>47546.95467242701</x:v>
      </x:c>
      <x:c r="C15" s="48" t="n">
        <x:f>'2026 Tax Tables'!$B$7</x:f>
        <x:v>211400</x:v>
      </x:c>
      <x:c r="D15" s="48" t="n">
        <x:f>MAX(0,C15-B15)</x:f>
        <x:v>163853.045327573</x:v>
      </x:c>
      <x:c r="E15" s="48" t="n">
        <x:f>IFERROR(INDEX(Projection!$J:$J,MATCH(A15,Projection!$B:$B,0)),0)</x:f>
        <x:v>0</x:v>
      </x:c>
      <x:c r="F15" s="48" t="n">
        <x:f>MIN(D15,E15)</x:f>
        <x:v>0</x:v>
      </x:c>
      <x:c r="G15" s="48" t="n">
        <x:f>F15*0.22</x:f>
        <x:v>0</x:v>
      </x:c>
      <x:c r="H15" t="str">
        <x:f>IF(B15+F15&gt;IRMAA!$C$5,"Review","OK")</x:f>
        <x:v>OK</x:v>
      </x:c>
      <x:c r="I15" s="50" t="n">
        <x:v>0.24</x:v>
      </x:c>
      <x:c r="J15" s="48" t="n">
        <x:f>F15*(I15-0.22)</x:f>
        <x:v>0</x:v>
      </x:c>
    </x:row>
    <x:row r="16">
      <x:c r="A16" t="n">
        <x:v>79</x:v>
      </x:c>
      <x:c r="B16" s="48" t="n">
        <x:f>IFERROR(INDEX(Projection!$E:$E,MATCH(A16,Projection!$B:$B,0)),0)</x:f>
        <x:v>48735.62853923769</x:v>
      </x:c>
      <x:c r="C16" s="48" t="n">
        <x:f>'2026 Tax Tables'!$B$7</x:f>
        <x:v>211400</x:v>
      </x:c>
      <x:c r="D16" s="48" t="n">
        <x:f>MAX(0,C16-B16)</x:f>
        <x:v>162664.3714607623</x:v>
      </x:c>
      <x:c r="E16" s="48" t="n">
        <x:f>IFERROR(INDEX(Projection!$J:$J,MATCH(A16,Projection!$B:$B,0)),0)</x:f>
        <x:v>0</x:v>
      </x:c>
      <x:c r="F16" s="48" t="n">
        <x:f>MIN(D16,E16)</x:f>
        <x:v>0</x:v>
      </x:c>
      <x:c r="G16" s="48" t="n">
        <x:f>F16*0.22</x:f>
        <x:v>0</x:v>
      </x:c>
      <x:c r="H16" t="str">
        <x:f>IF(B16+F16&gt;IRMAA!$C$5,"Review","OK")</x:f>
        <x:v>OK</x:v>
      </x:c>
      <x:c r="I16" s="50" t="n">
        <x:v>0.24</x:v>
      </x:c>
      <x:c r="J16" s="48" t="n">
        <x:f>F16*(I16-0.22)</x:f>
        <x:v>0</x:v>
      </x:c>
    </x:row>
    <x:row r="17">
      <x:c r="A17" t="n">
        <x:v>80</x:v>
      </x:c>
      <x:c r="B17" s="48" t="n">
        <x:f>IFERROR(INDEX(Projection!$E:$E,MATCH(A17,Projection!$B:$B,0)),0)</x:f>
        <x:v>49954.01925271862</x:v>
      </x:c>
      <x:c r="C17" s="48" t="n">
        <x:f>'2026 Tax Tables'!$B$7</x:f>
        <x:v>211400</x:v>
      </x:c>
      <x:c r="D17" s="48" t="n">
        <x:f>MAX(0,C17-B17)</x:f>
        <x:v>161445.98074728137</x:v>
      </x:c>
      <x:c r="E17" s="48" t="n">
        <x:f>IFERROR(INDEX(Projection!$J:$J,MATCH(A17,Projection!$B:$B,0)),0)</x:f>
        <x:v>0</x:v>
      </x:c>
      <x:c r="F17" s="48" t="n">
        <x:f>MIN(D17,E17)</x:f>
        <x:v>0</x:v>
      </x:c>
      <x:c r="G17" s="48" t="n">
        <x:f>F17*0.22</x:f>
        <x:v>0</x:v>
      </x:c>
      <x:c r="H17" t="str">
        <x:f>IF(B17+F17&gt;IRMAA!$C$5,"Review","OK")</x:f>
        <x:v>OK</x:v>
      </x:c>
      <x:c r="I17" s="50" t="n">
        <x:v>0.24</x:v>
      </x:c>
      <x:c r="J17" s="48" t="n">
        <x:f>F17*(I17-0.22)</x:f>
        <x:v>0</x:v>
      </x:c>
    </x:row>
    <x:row r="18">
      <x:c r="A18" t="n">
        <x:v>81</x:v>
      </x:c>
      <x:c r="B18" s="48" t="n">
        <x:f>IFERROR(INDEX(Projection!$E:$E,MATCH(A18,Projection!$B:$B,0)),0)</x:f>
        <x:v>51202.86973403658</x:v>
      </x:c>
      <x:c r="C18" s="48" t="n">
        <x:f>'2026 Tax Tables'!$B$7</x:f>
        <x:v>211400</x:v>
      </x:c>
      <x:c r="D18" s="48" t="n">
        <x:f>MAX(0,C18-B18)</x:f>
        <x:v>160197.1302659634</x:v>
      </x:c>
      <x:c r="E18" s="48" t="n">
        <x:f>IFERROR(INDEX(Projection!$J:$J,MATCH(A18,Projection!$B:$B,0)),0)</x:f>
        <x:v>0</x:v>
      </x:c>
      <x:c r="F18" s="48" t="n">
        <x:f>MIN(D18,E18)</x:f>
        <x:v>0</x:v>
      </x:c>
      <x:c r="G18" s="48" t="n">
        <x:f>F18*0.22</x:f>
        <x:v>0</x:v>
      </x:c>
      <x:c r="H18" t="str">
        <x:f>IF(B18+F18&gt;IRMAA!$C$5,"Review","OK")</x:f>
        <x:v>OK</x:v>
      </x:c>
      <x:c r="I18" s="50" t="n">
        <x:v>0.24</x:v>
      </x:c>
      <x:c r="J18" s="48" t="n">
        <x:f>F18*(I18-0.22)</x:f>
        <x:v>0</x:v>
      </x:c>
    </x:row>
    <x:row r="19">
      <x:c r="A19" t="n">
        <x:v>82</x:v>
      </x:c>
      <x:c r="B19" s="48" t="n">
        <x:f>IFERROR(INDEX(Projection!$E:$E,MATCH(A19,Projection!$B:$B,0)),0)</x:f>
        <x:v>52482.941477387496</x:v>
      </x:c>
      <x:c r="C19" s="48" t="n">
        <x:f>'2026 Tax Tables'!$B$7</x:f>
        <x:v>211400</x:v>
      </x:c>
      <x:c r="D19" s="48" t="n">
        <x:f>MAX(0,C19-B19)</x:f>
        <x:v>158917.0585226125</x:v>
      </x:c>
      <x:c r="E19" s="48" t="n">
        <x:f>IFERROR(INDEX(Projection!$J:$J,MATCH(A19,Projection!$B:$B,0)),0)</x:f>
        <x:v>0</x:v>
      </x:c>
      <x:c r="F19" s="48" t="n">
        <x:f>MIN(D19,E19)</x:f>
        <x:v>0</x:v>
      </x:c>
      <x:c r="G19" s="48" t="n">
        <x:f>F19*0.22</x:f>
        <x:v>0</x:v>
      </x:c>
      <x:c r="H19" t="str">
        <x:f>IF(B19+F19&gt;IRMAA!$C$5,"Review","OK")</x:f>
        <x:v>OK</x:v>
      </x:c>
      <x:c r="I19" s="50" t="n">
        <x:v>0.24</x:v>
      </x:c>
      <x:c r="J19" s="48" t="n">
        <x:f>F19*(I19-0.22)</x:f>
        <x:v>0</x:v>
      </x:c>
    </x:row>
    <x:row r="20">
      <x:c r="A20" t="n">
        <x:v>83</x:v>
      </x:c>
      <x:c r="B20" s="48" t="n">
        <x:f>IFERROR(INDEX(Projection!$E:$E,MATCH(A20,Projection!$B:$B,0)),0)</x:f>
        <x:v>53795.015014322176</x:v>
      </x:c>
      <x:c r="C20" s="48" t="n">
        <x:f>'2026 Tax Tables'!$B$7</x:f>
        <x:v>211400</x:v>
      </x:c>
      <x:c r="D20" s="48" t="n">
        <x:f>MAX(0,C20-B20)</x:f>
        <x:v>157604.98498567782</x:v>
      </x:c>
      <x:c r="E20" s="48" t="n">
        <x:f>IFERROR(INDEX(Projection!$J:$J,MATCH(A20,Projection!$B:$B,0)),0)</x:f>
        <x:v>0</x:v>
      </x:c>
      <x:c r="F20" s="48" t="n">
        <x:f>MIN(D20,E20)</x:f>
        <x:v>0</x:v>
      </x:c>
      <x:c r="G20" s="48" t="n">
        <x:f>F20*0.22</x:f>
        <x:v>0</x:v>
      </x:c>
      <x:c r="H20" t="str">
        <x:f>IF(B20+F20&gt;IRMAA!$C$5,"Review","OK")</x:f>
        <x:v>OK</x:v>
      </x:c>
      <x:c r="I20" s="50" t="n">
        <x:v>0.24</x:v>
      </x:c>
      <x:c r="J20" s="48" t="n">
        <x:f>F20*(I20-0.22)</x:f>
        <x:v>0</x:v>
      </x:c>
    </x:row>
    <x:row r="21">
      <x:c r="A21" t="n">
        <x:v>84</x:v>
      </x:c>
      <x:c r="B21" s="48" t="n">
        <x:f>IFERROR(INDEX(Projection!$E:$E,MATCH(A21,Projection!$B:$B,0)),0)</x:f>
        <x:v>55139.89038968023</x:v>
      </x:c>
      <x:c r="C21" s="48" t="n">
        <x:f>'2026 Tax Tables'!$B$7</x:f>
        <x:v>211400</x:v>
      </x:c>
      <x:c r="D21" s="48" t="n">
        <x:f>MAX(0,C21-B21)</x:f>
        <x:v>156260.10961031978</x:v>
      </x:c>
      <x:c r="E21" s="48" t="n">
        <x:f>IFERROR(INDEX(Projection!$J:$J,MATCH(A21,Projection!$B:$B,0)),0)</x:f>
        <x:v>0</x:v>
      </x:c>
      <x:c r="F21" s="48" t="n">
        <x:f>MIN(D21,E21)</x:f>
        <x:v>0</x:v>
      </x:c>
      <x:c r="G21" s="48" t="n">
        <x:f>F21*0.22</x:f>
        <x:v>0</x:v>
      </x:c>
      <x:c r="H21" t="str">
        <x:f>IF(B21+F21&gt;IRMAA!$C$5,"Review","OK")</x:f>
        <x:v>OK</x:v>
      </x:c>
      <x:c r="I21" s="50" t="n">
        <x:v>0.24</x:v>
      </x:c>
      <x:c r="J21" s="48" t="n">
        <x:f>F21*(I21-0.22)</x:f>
        <x:v>0</x:v>
      </x:c>
    </x:row>
    <x:row r="22">
      <x:c r="A22" t="n">
        <x:v>85</x:v>
      </x:c>
      <x:c r="B22" s="48" t="n">
        <x:f>IFERROR(INDEX(Projection!$E:$E,MATCH(A22,Projection!$B:$B,0)),0)</x:f>
        <x:v>56518.38764942223</x:v>
      </x:c>
      <x:c r="C22" s="48" t="n">
        <x:f>'2026 Tax Tables'!$B$7</x:f>
        <x:v>211400</x:v>
      </x:c>
      <x:c r="D22" s="48" t="n">
        <x:f>MAX(0,C22-B22)</x:f>
        <x:v>154881.61235057778</x:v>
      </x:c>
      <x:c r="E22" s="48" t="n">
        <x:f>IFERROR(INDEX(Projection!$J:$J,MATCH(A22,Projection!$B:$B,0)),0)</x:f>
        <x:v>0</x:v>
      </x:c>
      <x:c r="F22" s="48" t="n">
        <x:f>MIN(D22,E22)</x:f>
        <x:v>0</x:v>
      </x:c>
      <x:c r="G22" s="48" t="n">
        <x:f>F22*0.22</x:f>
        <x:v>0</x:v>
      </x:c>
      <x:c r="H22" t="str">
        <x:f>IF(B22+F22&gt;IRMAA!$C$5,"Review","OK")</x:f>
        <x:v>OK</x:v>
      </x:c>
      <x:c r="I22" s="50" t="n">
        <x:v>0.24</x:v>
      </x:c>
      <x:c r="J22" s="48" t="n">
        <x:f>F22*(I22-0.22)</x:f>
        <x:v>0</x:v>
      </x:c>
    </x:row>
    <x:row r="23">
      <x:c r="A23" t="n">
        <x:v>86</x:v>
      </x:c>
      <x:c r="B23" s="48" t="n">
        <x:f>IFERROR(INDEX(Projection!$E:$E,MATCH(A23,Projection!$B:$B,0)),0)</x:f>
        <x:v>57931.34734065778</x:v>
      </x:c>
      <x:c r="C23" s="48" t="n">
        <x:f>'2026 Tax Tables'!$B$7</x:f>
        <x:v>211400</x:v>
      </x:c>
      <x:c r="D23" s="48" t="n">
        <x:f>MAX(0,C23-B23)</x:f>
        <x:v>153468.65265934222</x:v>
      </x:c>
      <x:c r="E23" s="48" t="n">
        <x:f>IFERROR(INDEX(Projection!$J:$J,MATCH(A23,Projection!$B:$B,0)),0)</x:f>
        <x:v>0</x:v>
      </x:c>
      <x:c r="F23" s="48" t="n">
        <x:f>MIN(D23,E23)</x:f>
        <x:v>0</x:v>
      </x:c>
      <x:c r="G23" s="48" t="n">
        <x:f>F23*0.22</x:f>
        <x:v>0</x:v>
      </x:c>
      <x:c r="H23" t="str">
        <x:f>IF(B23+F23&gt;IRMAA!$C$5,"Review","OK")</x:f>
        <x:v>OK</x:v>
      </x:c>
      <x:c r="I23" s="50" t="n">
        <x:v>0.24</x:v>
      </x:c>
      <x:c r="J23" s="48" t="n">
        <x:f>F23*(I23-0.22)</x:f>
        <x:v>0</x:v>
      </x:c>
    </x:row>
    <x:row r="24">
      <x:c r="A24" t="n">
        <x:v>87</x:v>
      </x:c>
      <x:c r="B24" s="48" t="n">
        <x:f>IFERROR(INDEX(Projection!$E:$E,MATCH(A24,Projection!$B:$B,0)),0)</x:f>
        <x:v>59379.63102417422</x:v>
      </x:c>
      <x:c r="C24" s="48" t="n">
        <x:f>'2026 Tax Tables'!$B$7</x:f>
        <x:v>211400</x:v>
      </x:c>
      <x:c r="D24" s="48" t="n">
        <x:f>MAX(0,C24-B24)</x:f>
        <x:v>152020.36897582578</x:v>
      </x:c>
      <x:c r="E24" s="48" t="n">
        <x:f>IFERROR(INDEX(Projection!$J:$J,MATCH(A24,Projection!$B:$B,0)),0)</x:f>
        <x:v>0</x:v>
      </x:c>
      <x:c r="F24" s="48" t="n">
        <x:f>MIN(D24,E24)</x:f>
        <x:v>0</x:v>
      </x:c>
      <x:c r="G24" s="48" t="n">
        <x:f>F24*0.22</x:f>
        <x:v>0</x:v>
      </x:c>
      <x:c r="H24" t="str">
        <x:f>IF(B24+F24&gt;IRMAA!$C$5,"Review","OK")</x:f>
        <x:v>OK</x:v>
      </x:c>
      <x:c r="I24" s="50" t="n">
        <x:v>0.24</x:v>
      </x:c>
      <x:c r="J24" s="48" t="n">
        <x:f>F24*(I24-0.22)</x:f>
        <x:v>0</x:v>
      </x:c>
    </x:row>
    <x:row r="25">
      <x:c r="A25" t="n">
        <x:v>88</x:v>
      </x:c>
      <x:c r="B25" s="48" t="n">
        <x:f>IFERROR(INDEX(Projection!$E:$E,MATCH(A25,Projection!$B:$B,0)),0)</x:f>
        <x:v>60864.12179977857</x:v>
      </x:c>
      <x:c r="C25" s="48" t="n">
        <x:f>'2026 Tax Tables'!$B$7</x:f>
        <x:v>211400</x:v>
      </x:c>
      <x:c r="D25" s="48" t="n">
        <x:f>MAX(0,C25-B25)</x:f>
        <x:v>150535.87820022143</x:v>
      </x:c>
      <x:c r="E25" s="48" t="n">
        <x:f>IFERROR(INDEX(Projection!$J:$J,MATCH(A25,Projection!$B:$B,0)),0)</x:f>
        <x:v>0</x:v>
      </x:c>
      <x:c r="F25" s="48" t="n">
        <x:f>MIN(D25,E25)</x:f>
        <x:v>0</x:v>
      </x:c>
      <x:c r="G25" s="48" t="n">
        <x:f>F25*0.22</x:f>
        <x:v>0</x:v>
      </x:c>
      <x:c r="H25" t="str">
        <x:f>IF(B25+F25&gt;IRMAA!$C$5,"Review","OK")</x:f>
        <x:v>OK</x:v>
      </x:c>
      <x:c r="I25" s="50" t="n">
        <x:v>0.24</x:v>
      </x:c>
      <x:c r="J25" s="48" t="n">
        <x:f>F25*(I25-0.22)</x:f>
        <x:v>0</x:v>
      </x:c>
    </x:row>
    <x:row r="26">
      <x:c r="A26" t="n">
        <x:v>89</x:v>
      </x:c>
      <x:c r="B26" s="48" t="n">
        <x:f>IFERROR(INDEX(Projection!$E:$E,MATCH(A26,Projection!$B:$B,0)),0)</x:f>
        <x:v>62385.72484477302</x:v>
      </x:c>
      <x:c r="C26" s="48" t="n">
        <x:f>'2026 Tax Tables'!$B$7</x:f>
        <x:v>211400</x:v>
      </x:c>
      <x:c r="D26" s="48" t="n">
        <x:f>MAX(0,C26-B26)</x:f>
        <x:v>149014.275155227</x:v>
      </x:c>
      <x:c r="E26" s="48" t="n">
        <x:f>IFERROR(INDEX(Projection!$J:$J,MATCH(A26,Projection!$B:$B,0)),0)</x:f>
        <x:v>0</x:v>
      </x:c>
      <x:c r="F26" s="48" t="n">
        <x:f>MIN(D26,E26)</x:f>
        <x:v>0</x:v>
      </x:c>
      <x:c r="G26" s="48" t="n">
        <x:f>F26*0.22</x:f>
        <x:v>0</x:v>
      </x:c>
      <x:c r="H26" t="str">
        <x:f>IF(B26+F26&gt;IRMAA!$C$5,"Review","OK")</x:f>
        <x:v>OK</x:v>
      </x:c>
      <x:c r="I26" s="50" t="n">
        <x:v>0.24</x:v>
      </x:c>
      <x:c r="J26" s="48" t="n">
        <x:f>F26*(I26-0.22)</x:f>
        <x:v>0</x:v>
      </x:c>
    </x:row>
    <x:row r="27">
      <x:c r="A27" t="n">
        <x:v>90</x:v>
      </x:c>
      <x:c r="B27" s="48" t="n">
        <x:f>IFERROR(INDEX(Projection!$E:$E,MATCH(A27,Projection!$B:$B,0)),0)</x:f>
        <x:v>63945.36796589234</x:v>
      </x:c>
      <x:c r="C27" s="48" t="n">
        <x:f>'2026 Tax Tables'!$B$7</x:f>
        <x:v>211400</x:v>
      </x:c>
      <x:c r="D27" s="48" t="n">
        <x:f>MAX(0,C27-B27)</x:f>
        <x:v>147454.63203410766</x:v>
      </x:c>
      <x:c r="E27" s="48" t="n">
        <x:f>IFERROR(INDEX(Projection!$J:$J,MATCH(A27,Projection!$B:$B,0)),0)</x:f>
        <x:v>0</x:v>
      </x:c>
      <x:c r="F27" s="48" t="n">
        <x:f>MIN(D27,E27)</x:f>
        <x:v>0</x:v>
      </x:c>
      <x:c r="G27" s="48" t="n">
        <x:f>F27*0.22</x:f>
        <x:v>0</x:v>
      </x:c>
      <x:c r="H27" t="str">
        <x:f>IF(B27+F27&gt;IRMAA!$C$5,"Review","OK")</x:f>
        <x:v>OK</x:v>
      </x:c>
      <x:c r="I27" s="50" t="n">
        <x:v>0.24</x:v>
      </x:c>
      <x:c r="J27" s="48" t="n">
        <x:f>F27*(I27-0.22)</x:f>
        <x:v>0</x:v>
      </x:c>
    </x:row>
    <x:row r="28">
      <x:c r="A28" t="n">
        <x:v>91</x:v>
      </x:c>
      <x:c r="B28" s="48" t="n">
        <x:f>IFERROR(INDEX(Projection!$E:$E,MATCH(A28,Projection!$B:$B,0)),0)</x:f>
        <x:v>65544.00216503965</x:v>
      </x:c>
      <x:c r="C28" s="48" t="n">
        <x:f>'2026 Tax Tables'!$B$7</x:f>
        <x:v>211400</x:v>
      </x:c>
      <x:c r="D28" s="48" t="n">
        <x:f>MAX(0,C28-B28)</x:f>
        <x:v>145855.99783496035</x:v>
      </x:c>
      <x:c r="E28" s="48" t="n">
        <x:f>IFERROR(INDEX(Projection!$J:$J,MATCH(A28,Projection!$B:$B,0)),0)</x:f>
        <x:v>0</x:v>
      </x:c>
      <x:c r="F28" s="48" t="n">
        <x:f>MIN(D28,E28)</x:f>
        <x:v>0</x:v>
      </x:c>
      <x:c r="G28" s="48" t="n">
        <x:f>F28*0.22</x:f>
        <x:v>0</x:v>
      </x:c>
      <x:c r="H28" t="str">
        <x:f>IF(B28+F28&gt;IRMAA!$C$5,"Review","OK")</x:f>
        <x:v>OK</x:v>
      </x:c>
      <x:c r="I28" s="50" t="n">
        <x:v>0.24</x:v>
      </x:c>
      <x:c r="J28" s="48" t="n">
        <x:f>F28*(I28-0.22)</x:f>
        <x:v>0</x:v>
      </x:c>
    </x:row>
    <x:row r="29">
      <x:c r="A29" t="n">
        <x:v>92</x:v>
      </x:c>
      <x:c r="B29" s="48" t="n">
        <x:f>IFERROR(INDEX(Projection!$E:$E,MATCH(A29,Projection!$B:$B,0)),0)</x:f>
        <x:v>67182.60221916564</x:v>
      </x:c>
      <x:c r="C29" s="48" t="n">
        <x:f>'2026 Tax Tables'!$B$7</x:f>
        <x:v>211400</x:v>
      </x:c>
      <x:c r="D29" s="48" t="n">
        <x:f>MAX(0,C29-B29)</x:f>
        <x:v>144217.39778083435</x:v>
      </x:c>
      <x:c r="E29" s="48" t="n">
        <x:f>IFERROR(INDEX(Projection!$J:$J,MATCH(A29,Projection!$B:$B,0)),0)</x:f>
        <x:v>0</x:v>
      </x:c>
      <x:c r="F29" s="48" t="n">
        <x:f>MIN(D29,E29)</x:f>
        <x:v>0</x:v>
      </x:c>
      <x:c r="G29" s="48" t="n">
        <x:f>F29*0.22</x:f>
        <x:v>0</x:v>
      </x:c>
      <x:c r="H29" t="str">
        <x:f>IF(B29+F29&gt;IRMAA!$C$5,"Review","OK")</x:f>
        <x:v>OK</x:v>
      </x:c>
      <x:c r="I29" s="50" t="n">
        <x:v>0.24</x:v>
      </x:c>
      <x:c r="J29" s="48" t="n">
        <x:f>F29*(I29-0.22)</x:f>
        <x:v>0</x:v>
      </x:c>
    </x:row>
    <x:row r="30">
      <x:c r="A30" t="n">
        <x:v>93</x:v>
      </x:c>
      <x:c r="B30" s="48" t="n">
        <x:f>IFERROR(INDEX(Projection!$E:$E,MATCH(A30,Projection!$B:$B,0)),0)</x:f>
        <x:v>68862.16727464477</x:v>
      </x:c>
      <x:c r="C30" s="48" t="n">
        <x:f>'2026 Tax Tables'!$B$7</x:f>
        <x:v>211400</x:v>
      </x:c>
      <x:c r="D30" s="48" t="n">
        <x:f>MAX(0,C30-B30)</x:f>
        <x:v>142537.83272535523</x:v>
      </x:c>
      <x:c r="E30" s="48" t="n">
        <x:f>IFERROR(INDEX(Projection!$J:$J,MATCH(A30,Projection!$B:$B,0)),0)</x:f>
        <x:v>0</x:v>
      </x:c>
      <x:c r="F30" s="48" t="n">
        <x:f>MIN(D30,E30)</x:f>
        <x:v>0</x:v>
      </x:c>
      <x:c r="G30" s="48" t="n">
        <x:f>F30*0.22</x:f>
        <x:v>0</x:v>
      </x:c>
      <x:c r="H30" t="str">
        <x:f>IF(B30+F30&gt;IRMAA!$C$5,"Review","OK")</x:f>
        <x:v>OK</x:v>
      </x:c>
      <x:c r="I30" s="50" t="n">
        <x:v>0.24</x:v>
      </x:c>
      <x:c r="J30" s="48" t="n">
        <x:f>F30*(I30-0.22)</x:f>
        <x:v>0</x:v>
      </x:c>
    </x:row>
    <x:row r="31">
      <x:c r="A31" t="n">
        <x:v>94</x:v>
      </x:c>
      <x:c r="B31" s="48" t="n">
        <x:f>IFERROR(INDEX(Projection!$E:$E,MATCH(A31,Projection!$B:$B,0)),0)</x:f>
        <x:v>70583.72145651089</x:v>
      </x:c>
      <x:c r="C31" s="48" t="n">
        <x:f>'2026 Tax Tables'!$B$7</x:f>
        <x:v>211400</x:v>
      </x:c>
      <x:c r="D31" s="48" t="n">
        <x:f>MAX(0,C31-B31)</x:f>
        <x:v>140816.2785434891</x:v>
      </x:c>
      <x:c r="E31" s="48" t="n">
        <x:f>IFERROR(INDEX(Projection!$J:$J,MATCH(A31,Projection!$B:$B,0)),0)</x:f>
        <x:v>0</x:v>
      </x:c>
      <x:c r="F31" s="48" t="n">
        <x:f>MIN(D31,E31)</x:f>
        <x:v>0</x:v>
      </x:c>
      <x:c r="G31" s="48" t="n">
        <x:f>F31*0.22</x:f>
        <x:v>0</x:v>
      </x:c>
      <x:c r="H31" t="str">
        <x:f>IF(B31+F31&gt;IRMAA!$C$5,"Review","OK")</x:f>
        <x:v>OK</x:v>
      </x:c>
      <x:c r="I31" s="50" t="n">
        <x:v>0.24</x:v>
      </x:c>
      <x:c r="J31" s="48" t="n">
        <x:f>F31*(I31-0.22)</x:f>
        <x:v>0</x:v>
      </x:c>
    </x:row>
    <x:row r="32">
      <x:c r="A32" t="n">
        <x:v>95</x:v>
      </x:c>
      <x:c r="B32" s="48" t="n">
        <x:f>IFERROR(INDEX(Projection!$E:$E,MATCH(A32,Projection!$B:$B,0)),0)</x:f>
        <x:v>72348.31449292366</x:v>
      </x:c>
      <x:c r="C32" s="48" t="n">
        <x:f>'2026 Tax Tables'!$B$7</x:f>
        <x:v>211400</x:v>
      </x:c>
      <x:c r="D32" s="48" t="n">
        <x:f>MAX(0,C32-B32)</x:f>
        <x:v>139051.68550707633</x:v>
      </x:c>
      <x:c r="E32" s="48" t="n">
        <x:f>IFERROR(INDEX(Projection!$J:$J,MATCH(A32,Projection!$B:$B,0)),0)</x:f>
        <x:v>0</x:v>
      </x:c>
      <x:c r="F32" s="48" t="n">
        <x:f>MIN(D32,E32)</x:f>
        <x:v>0</x:v>
      </x:c>
      <x:c r="G32" s="48" t="n">
        <x:f>F32*0.22</x:f>
        <x:v>0</x:v>
      </x:c>
      <x:c r="H32" t="str">
        <x:f>IF(B32+F32&gt;IRMAA!$C$5,"Review","OK")</x:f>
        <x:v>OK</x:v>
      </x:c>
      <x:c r="I32" s="50" t="n">
        <x:v>0.24</x:v>
      </x:c>
      <x:c r="J32" s="48" t="n">
        <x:f>F32*(I32-0.22)</x:f>
        <x:v>0</x:v>
      </x:c>
    </x:row>
  </x:sheetData>
  <x:mergeCells>
    <x:mergeCell ref="A1:J2"/>
  </x:mergeCells>
  <x:conditionalFormatting sqref="H5:H32">
    <x:cfRule type="expression" dxfId="1" priority="1">
      <x:formula>H5="Review"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34" hidden="0" customWidth="1"/>
  </x:cols>
  <x:sheetData>
    <x:row r="1">
      <x:c r="A1" s="3" t="str">
        <x:v>Workbook Audit &amp; Control Checks</x:v>
      </x:c>
      <x:c r="B1" s="3"/>
      <x:c r="C1" s="3"/>
      <x:c r="D1" s="3"/>
    </x:row>
    <x:row r="2">
      <x:c r="A2" s="3"/>
      <x:c r="B2" s="3"/>
      <x:c r="C2" s="3"/>
      <x:c r="D2" s="3"/>
    </x:row>
    <x:row r="4">
      <x:c r="A4" s="9" t="str">
        <x:v>Check</x:v>
      </x:c>
      <x:c r="B4" s="9" t="str">
        <x:v>Result</x:v>
      </x:c>
      <x:c r="C4" s="9" t="str">
        <x:v>Status</x:v>
      </x:c>
      <x:c r="D4" s="9" t="str">
        <x:v>Purpose</x:v>
      </x:c>
    </x:row>
    <x:row r="5">
      <x:c r="A5" t="str">
        <x:v>Starting balances populated</x:v>
      </x:c>
      <x:c r="B5" t="b">
        <x:f>SUM(Assumptions!B16:B19)&gt;0</x:f>
        <x:v>1</x:v>
      </x:c>
      <x:c r="C5" t="str">
        <x:f>IF(B5,"PASS","FAIL")</x:f>
        <x:v>PASS</x:v>
      </x:c>
      <x:c r="D5" t="str">
        <x:v>Input completeness</x:v>
      </x:c>
    </x:row>
    <x:row r="6">
      <x:c r="A6" t="str">
        <x:v>Claim age valid</x:v>
      </x:c>
      <x:c r="B6" t="b">
        <x:f>OR(Assumptions!B13=65,Assumptions!B13=67,Assumptions!B13=70)</x:f>
        <x:v>1</x:v>
      </x:c>
      <x:c r="C6" t="str">
        <x:f>IF(B6,"PASS","FAIL")</x:f>
        <x:v>PASS</x:v>
      </x:c>
      <x:c r="D6" t="str">
        <x:v>Scenario integrity</x:v>
      </x:c>
    </x:row>
    <x:row r="7">
      <x:c r="A7" t="str">
        <x:v>Return rate between 0% and 20%</x:v>
      </x:c>
      <x:c r="B7" t="b">
        <x:f>AND(Assumptions!B21&gt;=0,Assumptions!B21&lt;=0.2)</x:f>
        <x:v>1</x:v>
      </x:c>
      <x:c r="C7" t="str">
        <x:f>IF(B7,"PASS","FAIL")</x:f>
        <x:v>PASS</x:v>
      </x:c>
      <x:c r="D7" t="str">
        <x:v>Assumption reasonableness</x:v>
      </x:c>
    </x:row>
    <x:row r="8">
      <x:c r="A8" t="str">
        <x:v>Projection rows available</x:v>
      </x:c>
      <x:c r="B8" t="b">
        <x:f>COUNTA(Projection!A:A)&gt;1</x:f>
        <x:v>1</x:v>
      </x:c>
      <x:c r="C8" t="str">
        <x:f>IF(B8,"PASS","FAIL")</x:f>
        <x:v>PASS</x:v>
      </x:c>
      <x:c r="D8" t="str">
        <x:v>Model output</x:v>
      </x:c>
    </x:row>
    <x:row r="9">
      <x:c r="A9" t="str">
        <x:v>No negative account balances</x:v>
      </x:c>
      <x:c r="B9" t="b">
        <x:f>COUNTIF(Projection!J:M,"&lt;0")=0</x:f>
        <x:v>1</x:v>
      </x:c>
      <x:c r="C9" t="str">
        <x:f>IF(B9,"PASS","FAIL")</x:f>
        <x:v>PASS</x:v>
      </x:c>
      <x:c r="D9" t="str">
        <x:v>Projection integrity</x:v>
      </x:c>
    </x:row>
    <x:row r="10">
      <x:c r="A10" t="str">
        <x:v>IRMAA table review required</x:v>
      </x:c>
      <x:c r="B10" t="str">
        <x:v>Manual</x:v>
      </x:c>
      <x:c r="C10" t="str">
        <x:v>REVIEW</x:v>
      </x:c>
      <x:c r="D10" t="str">
        <x:v>Annual update control</x:v>
      </x:c>
    </x:row>
  </x:sheetData>
  <x:mergeCells>
    <x:mergeCell ref="A1:D2"/>
  </x:mergeCells>
  <x:conditionalFormatting sqref="C5:C10">
    <x:cfRule type="expression" dxfId="2" priority="1">
      <x:formula>C5="FAIL"</x:formula>
    </x:cfRule>
    <x:cfRule type="expression" dxfId="3" priority="2">
      <x:formula>C5="PASS"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72" hidden="0" customWidth="1"/>
  </x:cols>
  <x:sheetData>
    <x:row r="1">
      <x:c r="A1" s="24" t="str">
        <x:v>Documentation, Sources &amp; Operating Notes</x:v>
      </x:c>
      <x:c r="B1" s="24"/>
      <x:c r="C1" s="24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>
      <x:c r="A4" s="9" t="str">
        <x:v>Topic</x:v>
      </x:c>
      <x:c r="B4" s="9" t="str">
        <x:v>Description</x:v>
      </x:c>
      <x:c r="C4" s="9" t="str">
        <x:v>Source URL</x:v>
      </x:c>
    </x:row>
    <x:row r="5">
      <x:c r="A5" t="str">
        <x:v>Federal tax</x:v>
      </x:c>
      <x:c r="B5" t="str">
        <x:v>2026 MFJ brackets and standard deduction are configurable.</x:v>
      </x:c>
      <x:c r="C5" t="str">
        <x:v>https://www.irs.gov/newsroom/irs-releases-tax-inflation-adjustments-for-tax-year-2026-including-amendments-from-the-one-big-beautiful-bill</x:v>
      </x:c>
    </x:row>
    <x:row r="6">
      <x:c r="A6" t="str">
        <x:v>RMD</x:v>
      </x:c>
      <x:c r="B6" t="str">
        <x:v>Uses Uniform Lifetime Table methodology and prior year-end balance.</x:v>
      </x:c>
      <x:c r="C6" t="str">
        <x:v>https://www.irs.gov/retirement-plans/plan-participant-employee/retirement-topics-required-minimum-distributions-rmds</x:v>
      </x:c>
    </x:row>
    <x:row r="7">
      <x:c r="A7" t="str">
        <x:v>Medicare</x:v>
      </x:c>
      <x:c r="B7" t="str">
        <x:v>IRMAA thresholds and premiums must be independently validated each year.</x:v>
      </x:c>
      <x:c r="C7" t="str">
        <x:v>https://www.cms.gov/medicare/enrollment-renewal/part-b-buy-in/income-related-monthly-adjustment-amounts</x:v>
      </x:c>
    </x:row>
    <x:row r="8">
      <x:c r="A8" t="str">
        <x:v>Color convention</x:v>
      </x:c>
      <x:c r="B8" t="str">
        <x:v>Blue = hardcoded input; green = linked cell; black = formula; yellow = attention required.</x:v>
      </x:c>
      <x:c r="C8" t="str"/>
    </x:row>
    <x:row r="9">
      <x:c r="A9" t="str">
        <x:v>Disclaimer</x:v>
      </x:c>
      <x:c r="B9" t="str">
        <x:v>Planning illustration only; not tax, legal, investment, or Medicare advice.</x:v>
      </x:c>
      <x:c r="C9" t="str"/>
    </x:row>
  </x:sheetData>
  <x:mergeCells>
    <x:mergeCell ref="A1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62" t="str">
        <x:v>Retirement Planner — Version 1.0.0</x:v>
      </x:c>
      <x:c r="B1" s="62"/>
      <x:c r="C1" s="62"/>
      <x:c r="D1" s="62"/>
      <x:c r="E1" s="62"/>
      <x:c r="F1" s="62"/>
    </x:row>
    <x:row r="2">
      <x:c r="A2" s="62"/>
      <x:c r="B2" s="62"/>
      <x:c r="C2" s="62"/>
      <x:c r="D2" s="62"/>
      <x:c r="E2" s="62"/>
      <x:c r="F2" s="62"/>
    </x:row>
    <x:row r="3">
      <x:c r="A3" s="25"/>
      <x:c r="B3" s="25"/>
      <x:c r="C3" s="25"/>
      <x:c r="D3" s="25"/>
      <x:c r="E3" s="25"/>
      <x:c r="F3" s="25"/>
    </x:row>
    <x:row r="4">
      <x:c r="A4" s="63" t="str">
        <x:v>Release Item</x:v>
      </x:c>
      <x:c r="B4" s="63" t="str">
        <x:v>Details</x:v>
      </x:c>
      <x:c r="C4" s="25"/>
      <x:c r="D4" s="25"/>
      <x:c r="E4" s="25"/>
      <x:c r="F4" s="25"/>
    </x:row>
    <x:row r="5">
      <x:c r="A5" s="25" t="str">
        <x:v>Release</x:v>
      </x:c>
      <x:c r="B5" s="25" t="str">
        <x:v>Version 1.0.0 — Milestone 8</x:v>
      </x:c>
      <x:c r="C5" s="25"/>
      <x:c r="D5" s="25"/>
      <x:c r="E5" s="25"/>
      <x:c r="F5" s="25"/>
    </x:row>
    <x:row r="6">
      <x:c r="A6" s="25" t="str">
        <x:v>Status</x:v>
      </x:c>
      <x:c r="B6" s="25" t="str">
        <x:v>Production-ready planning framework</x:v>
      </x:c>
      <x:c r="C6" s="25"/>
      <x:c r="D6" s="25"/>
      <x:c r="E6" s="25"/>
      <x:c r="F6" s="25"/>
    </x:row>
    <x:row r="7">
      <x:c r="A7" s="25" t="str">
        <x:v>Model year</x:v>
      </x:c>
      <x:c r="B7" s="25" t="str">
        <x:v>2026 federal income tax planning</x:v>
      </x:c>
      <x:c r="C7" s="25"/>
      <x:c r="D7" s="25"/>
      <x:c r="E7" s="25"/>
      <x:c r="F7" s="25"/>
    </x:row>
    <x:row r="8">
      <x:c r="A8" s="25" t="str">
        <x:v>Primary capabilities</x:v>
      </x:c>
      <x:c r="B8" s="25" t="str">
        <x:v>Federal tax, Social Security taxation, RMDs, Roth conversions, IRMAA, scenario comparison, Monte Carlo, and reporting</x:v>
      </x:c>
      <x:c r="C8" s="25"/>
      <x:c r="D8" s="25"/>
      <x:c r="E8" s="25"/>
      <x:c r="F8" s="25"/>
    </x:row>
    <x:row r="9">
      <x:c r="A9" s="25" t="str">
        <x:v>Workbook sheets</x:v>
      </x:c>
      <x:c r="B9" s="25" t="str">
        <x:v>Dashboard, Assumptions, tax tables, IRMAA, RMD factors, projections, scenario comparison, Roth optimizer, audit, documentation, and release notes</x:v>
      </x:c>
      <x:c r="C9" s="25"/>
      <x:c r="D9" s="25"/>
      <x:c r="E9" s="25"/>
      <x:c r="F9" s="25"/>
    </x:row>
    <x:row r="10">
      <x:c r="A10" s="25" t="str">
        <x:v>Editable inputs</x:v>
      </x:c>
      <x:c r="B10" s="25" t="str">
        <x:v>Blue-font cells on the Assumptions sheet</x:v>
      </x:c>
      <x:c r="C10" s="25"/>
      <x:c r="D10" s="25"/>
      <x:c r="E10" s="25"/>
      <x:c r="F10" s="25"/>
    </x:row>
    <x:row r="11">
      <x:c r="A11" s="25" t="str">
        <x:v>Key attention cells</x:v>
      </x:c>
      <x:c r="B11" s="25" t="str">
        <x:v>Yellow-fill cells require review before use</x:v>
      </x:c>
      <x:c r="C11" s="25"/>
      <x:c r="D11" s="25"/>
      <x:c r="E11" s="25"/>
      <x:c r="F11" s="25"/>
    </x:row>
    <x:row r="12">
      <x:c r="A12" s="25" t="str">
        <x:v>Audit convention</x:v>
      </x:c>
      <x:c r="B12" s="25" t="str">
        <x:v>Formula and reconciliation checks are summarized on the Audit sheet</x:v>
      </x:c>
      <x:c r="C12" s="25"/>
      <x:c r="D12" s="25"/>
      <x:c r="E12" s="25"/>
      <x:c r="F12" s="25"/>
    </x:row>
    <x:row r="13">
      <x:c r="A13" s="25" t="str">
        <x:v>Software package</x:v>
      </x:c>
      <x:c r="B13" s="25" t="str">
        <x:v>Installable Python project with CLI, tests, configuration, reports, and workbook builder</x:v>
      </x:c>
      <x:c r="C13" s="25"/>
      <x:c r="D13" s="25"/>
      <x:c r="E13" s="25"/>
      <x:c r="F13" s="25"/>
    </x:row>
    <x:row r="14">
      <x:c r="A14" s="25" t="str">
        <x:v>Validation</x:v>
      </x:c>
      <x:c r="B14" s="25" t="str">
        <x:v>Automated test suite and release checksum manifest included</x:v>
      </x:c>
      <x:c r="C14" s="25"/>
      <x:c r="D14" s="25"/>
      <x:c r="E14" s="25"/>
      <x:c r="F14" s="25"/>
    </x:row>
    <x:row r="15">
      <x:c r="A15" s="25"/>
      <x:c r="B15" s="25"/>
      <x:c r="C15" s="25"/>
      <x:c r="D15" s="25"/>
      <x:c r="E15" s="25"/>
      <x:c r="F15" s="25"/>
    </x:row>
    <x:row r="16">
      <x:c r="A16" s="64" t="str">
        <x:v>Important Use Notice</x:v>
      </x:c>
      <x:c r="B16" s="64"/>
      <x:c r="C16" s="64"/>
      <x:c r="D16" s="64"/>
      <x:c r="E16" s="64"/>
      <x:c r="F16" s="64"/>
    </x:row>
    <x:row r="17">
      <x:c r="A17" s="25" t="str">
        <x:v>This workbook is a retirement-planning illustration and software framework. Before client use, independently validate tax law, Medicare rules, investment assumptions, Social Security inputs, and household facts for the applicable year.</x:v>
      </x:c>
      <x:c r="B17" s="25"/>
      <x:c r="C17" s="25"/>
      <x:c r="D17" s="25"/>
      <x:c r="E17" s="25"/>
      <x:c r="F17" s="25"/>
    </x:row>
    <x:row r="18">
      <x:c r="A18" s="25"/>
      <x:c r="B18" s="25"/>
      <x:c r="C18" s="25"/>
      <x:c r="D18" s="25"/>
      <x:c r="E18" s="25"/>
      <x:c r="F18" s="25"/>
    </x:row>
    <x:row r="19">
      <x:c r="A19" s="25"/>
      <x:c r="B19" s="25"/>
      <x:c r="C19" s="25"/>
      <x:c r="D19" s="25"/>
      <x:c r="E19" s="25"/>
      <x:c r="F19" s="25"/>
    </x:row>
    <x:row r="20">
      <x:c r="A20" s="25"/>
      <x:c r="B20" s="25"/>
      <x:c r="C20" s="25"/>
      <x:c r="D20" s="25"/>
      <x:c r="E20" s="25"/>
      <x:c r="F20" s="25"/>
    </x:row>
    <x:row r="21">
      <x:c r="A21" s="25"/>
      <x:c r="B21" s="25"/>
      <x:c r="C21" s="25"/>
      <x:c r="D21" s="25"/>
      <x:c r="E21" s="25"/>
      <x:c r="F21" s="25"/>
    </x:row>
    <x:row r="22">
      <x:c r="A22" s="25"/>
      <x:c r="B22" s="25"/>
      <x:c r="C22" s="25"/>
      <x:c r="D22" s="25"/>
      <x:c r="E22" s="25"/>
      <x:c r="F22" s="25"/>
    </x:row>
    <x:row r="23">
      <x:c r="A23" s="79" t="str">
        <x:v>Version 2.0 Integrated Expansion</x:v>
      </x:c>
      <x:c r="B23" s="79"/>
      <x:c r="C23" s="79"/>
      <x:c r="D23" s="79"/>
      <x:c r="E23" s="79"/>
      <x:c r="F23" s="79"/>
    </x:row>
    <x:row r="24">
      <x:c r="A24" s="75" t="str">
        <x:v>Milestone</x:v>
      </x:c>
      <x:c r="B24" s="75" t="str">
        <x:v>Integrated capability</x:v>
      </x:c>
    </x:row>
    <x:row r="25">
      <x:c r="A25" t="str">
        <x:v>9</x:v>
      </x:c>
      <x:c r="B25" t="str">
        <x:v>ACA Marketplace, MAGI, FPL, PTC and healthcare optimization</x:v>
      </x:c>
    </x:row>
    <x:row r="26">
      <x:c r="A26" t="str">
        <x:v>10</x:v>
      </x:c>
      <x:c r="B26" t="str">
        <x:v>Estate, survivor and legacy analysis</x:v>
      </x:c>
    </x:row>
    <x:row r="27">
      <x:c r="A27" t="str">
        <x:v>11</x:v>
      </x:c>
      <x:c r="B27" t="str">
        <x:v>Charitable giving and QCD optimization</x:v>
      </x:c>
    </x:row>
    <x:row r="28">
      <x:c r="A28" t="str">
        <x:v>12</x:v>
      </x:c>
      <x:c r="B28" t="str">
        <x:v>Tax-year configuration repository and update controls</x:v>
      </x:c>
    </x:row>
    <x:row r="29">
      <x:c r="A29" t="str">
        <x:v>13</x:v>
      </x:c>
      <x:c r="B29" t="str">
        <x:v>Advisor/client reporting and master recommendations</x:v>
      </x:c>
    </x:row>
    <x:row r="31">
      <x:c r="A31" s="100" t="str">
        <x:v>Version 2.1.2 Integrated Capabilities</x:v>
      </x:c>
      <x:c r="B31" s="100"/>
      <x:c r="C31" s="100"/>
      <x:c r="D31" s="100"/>
      <x:c r="E31" s="100"/>
      <x:c r="F31" s="100"/>
    </x:row>
    <x:row r="32">
      <x:c r="A32" s="98" t="str">
        <x:v>Capability</x:v>
      </x:c>
      <x:c r="B32" s="98" t="str">
        <x:v>Implementation</x:v>
      </x:c>
    </x:row>
    <x:row r="33">
      <x:c r="A33" t="str">
        <x:v>State income tax</x:v>
      </x:c>
      <x:c r="B33" t="str">
        <x:v>Config-driven none, flat, progressive, and manual methods</x:v>
      </x:c>
    </x:row>
    <x:row r="34">
      <x:c r="A34" t="str">
        <x:v>Rule engine</x:v>
      </x:c>
      <x:c r="B34" t="str">
        <x:v>Versioned JSON conditions and outputs; no arbitrary eval</x:v>
      </x:c>
    </x:row>
    <x:row r="35">
      <x:c r="A35" t="str">
        <x:v>Scenario versioning</x:v>
      </x:c>
      <x:c r="B35" t="str">
        <x:v>Immutable snapshots, parent versions, payload hashes, and field comparisons</x:v>
      </x:c>
    </x:row>
    <x:row r="37">
      <x:c r="A37" s="113" t="str">
        <x:v>Version 2.1.3 Withdrawal Enhancements</x:v>
      </x:c>
      <x:c r="B37" s="113"/>
      <x:c r="C37" s="113"/>
      <x:c r="D37" s="113"/>
      <x:c r="E37" s="113"/>
      <x:c r="F37" s="113"/>
    </x:row>
    <x:row r="38">
      <x:c r="A38" s="111" t="str">
        <x:v>Enhancement</x:v>
      </x:c>
      <x:c r="B38" s="111" t="str">
        <x:v>Implementation</x:v>
      </x:c>
    </x:row>
    <x:row r="39">
      <x:c r="A39" t="str">
        <x:v>IRA spending withdrawals</x:v>
      </x:c>
      <x:c r="B39" t="str">
        <x:v>Tracked separately from Roth conversions</x:v>
      </x:c>
    </x:row>
    <x:row r="40">
      <x:c r="A40" t="str">
        <x:v>Taxable reinvestment</x:v>
      </x:c>
      <x:c r="B40" t="str">
        <x:v>IRA distribution can be deposited into taxable account</x:v>
      </x:c>
    </x:row>
    <x:row r="41">
      <x:c r="A41" t="str">
        <x:v>QCD allocation</x:v>
      </x:c>
      <x:c r="B41" t="str">
        <x:v>Separately tracked and applied against RMD</x:v>
      </x:c>
    </x:row>
    <x:row r="42">
      <x:c r="A42" t="str">
        <x:v>Savings account</x:v>
      </x:c>
      <x:c r="B42" t="str">
        <x:v>Modeled balance, return, and minimum reserve</x:v>
      </x:c>
    </x:row>
    <x:row r="43">
      <x:c r="A43" t="str">
        <x:v>Conversion tax source</x:v>
      </x:c>
      <x:c r="B43" t="str">
        <x:v>Savings, taxable assets, withholding, or mixed</x:v>
      </x:c>
    </x:row>
    <x:row r="44">
      <x:c r="A44" t="str">
        <x:v>Incremental conversion tax</x:v>
      </x:c>
      <x:c r="B44" t="str">
        <x:v>Federal and state tax compared with no-conversion case</x:v>
      </x:c>
    </x:row>
    <x:row r="45">
      <x:c r="A45" t="str">
        <x:v>Net Roth deposit</x:v>
      </x:c>
      <x:c r="B45" t="str">
        <x:v>Gross conversion less conversion-tax withholding</x:v>
      </x:c>
    </x:row>
    <x:row r="47">
      <x:c r="A47" s="133" t="str">
        <x:v>Version 2.1.4 — Roth Conversion Tax Funding Controls</x:v>
      </x:c>
      <x:c r="B47" s="133"/>
      <x:c r="C47" s="133"/>
      <x:c r="D47" s="133"/>
      <x:c r="E47" s="133"/>
      <x:c r="F47" s="133"/>
    </x:row>
    <x:row r="48">
      <x:c r="A48" s="144" t="str">
        <x:v>Control</x:v>
      </x:c>
      <x:c r="B48" s="144" t="str">
        <x:v>Implementation</x:v>
      </x:c>
    </x:row>
    <x:row r="49">
      <x:c r="A49" t="str">
        <x:v>Preferred source</x:v>
      </x:c>
      <x:c r="B49" t="str">
        <x:v>Savings, taxable assets, withholding, or mixed</x:v>
      </x:c>
    </x:row>
    <x:row r="50">
      <x:c r="A50" t="str">
        <x:v>Mixed allocation</x:v>
      </x:c>
      <x:c r="B50" t="str">
        <x:v>Percentages must total exactly 100%</x:v>
      </x:c>
    </x:row>
    <x:row r="51">
      <x:c r="A51" t="str">
        <x:v>Savings reserve</x:v>
      </x:c>
      <x:c r="B51" t="str">
        <x:v>Minimum savings balance is enforced</x:v>
      </x:c>
    </x:row>
    <x:row r="52">
      <x:c r="A52" t="str">
        <x:v>Fallback order</x:v>
      </x:c>
      <x:c r="B52" t="str">
        <x:v>User-configurable sequence</x:v>
      </x:c>
    </x:row>
    <x:row r="53">
      <x:c r="A53" t="str">
        <x:v>Shortfall policy</x:v>
      </x:c>
      <x:c r="B53" t="str">
        <x:v>Withhold, explicitly unfunded, or error</x:v>
      </x:c>
    </x:row>
    <x:row r="54">
      <x:c r="A54" t="str">
        <x:v>Withholding cap</x:v>
      </x:c>
      <x:c r="B54" t="str">
        <x:v>Cannot exceed gross conversion</x:v>
      </x:c>
    </x:row>
    <x:row r="55">
      <x:c r="A55" t="str">
        <x:v>Audit output</x:v>
      </x:c>
      <x:c r="B55" t="str">
        <x:v>Funding sequence, fallback use, and unfunded tax are recorded</x:v>
      </x:c>
    </x:row>
    <x:row r="57">
      <x:c r="A57" s="164" t="str">
        <x:v>Version 3.0 Functional Module Completion</x:v>
      </x:c>
      <x:c r="B57" s="164"/>
      <x:c r="C57" s="164"/>
      <x:c r="D57" s="164"/>
      <x:c r="E57" s="164"/>
      <x:c r="F57" s="164"/>
    </x:row>
    <x:row r="58">
      <x:c r="A58" s="162" t="str">
        <x:v>Module</x:v>
      </x:c>
      <x:c r="B58" s="162" t="str">
        <x:v>Status</x:v>
      </x:c>
    </x:row>
    <x:row r="59">
      <x:c r="A59" t="str">
        <x:v>Tax Strategy Optimizer</x:v>
      </x:c>
      <x:c r="B59" t="str">
        <x:v>Complete</x:v>
      </x:c>
    </x:row>
    <x:row r="60">
      <x:c r="A60" t="str">
        <x:v>Lifetime Cash-Flow Engine</x:v>
      </x:c>
      <x:c r="B60" t="str">
        <x:v>Complete</x:v>
      </x:c>
    </x:row>
    <x:row r="61">
      <x:c r="A61" t="str">
        <x:v>Advanced Monte Carlo</x:v>
      </x:c>
      <x:c r="B61" t="str">
        <x:v>Complete</x:v>
      </x:c>
    </x:row>
    <x:row r="62">
      <x:c r="A62" t="str">
        <x:v>Sensitivity Analysis</x:v>
      </x:c>
      <x:c r="B62" t="str">
        <x:v>Complete</x:v>
      </x:c>
    </x:row>
    <x:row r="63">
      <x:c r="A63" t="str">
        <x:v>Planning Opportunity Engine</x:v>
      </x:c>
      <x:c r="B63" t="str">
        <x:v>Complete</x:v>
      </x:c>
    </x:row>
    <x:row r="65">
      <x:c r="A65" s="179" t="str">
        <x:v>Version 3.0 RC1 — Validation and Workbook Integration</x:v>
      </x:c>
      <x:c r="B65" s="179"/>
      <x:c r="C65" s="179"/>
      <x:c r="D65" s="179"/>
      <x:c r="E65" s="179"/>
      <x:c r="F65" s="179"/>
    </x:row>
    <x:row r="66">
      <x:c r="A66" s="169" t="str">
        <x:v>RC1 Item</x:v>
      </x:c>
      <x:c r="B66" s="169" t="str">
        <x:v>Result</x:v>
      </x:c>
    </x:row>
    <x:row r="67">
      <x:c r="A67" t="str">
        <x:v>Regression tests</x:v>
      </x:c>
      <x:c r="B67" t="str">
        <x:v>50 passed</x:v>
      </x:c>
    </x:row>
    <x:row r="68">
      <x:c r="A68" t="str">
        <x:v>Independent benchmarks</x:v>
      </x:c>
      <x:c r="B68" t="str">
        <x:v>5 passed</x:v>
      </x:c>
    </x:row>
    <x:row r="69">
      <x:c r="A69" t="str">
        <x:v>Workbook parity</x:v>
      </x:c>
      <x:c r="B69" t="str">
        <x:v>Formula-linked to validated engine output</x:v>
      </x:c>
    </x:row>
    <x:row r="70">
      <x:c r="A70" t="str">
        <x:v>Traditional IRA gross-up</x:v>
      </x:c>
      <x:c r="B70" t="str">
        <x:v>Corrected and regression-tested</x:v>
      </x:c>
    </x:row>
    <x:row r="71">
      <x:c r="A71" t="str">
        <x:v>Formula error scan</x:v>
      </x:c>
      <x:c r="B71" t="str">
        <x:v>No common formula errors found</x:v>
      </x:c>
    </x:row>
    <x:row r="72">
      <x:c r="A72" t="str">
        <x:v>Release packaging</x:v>
      </x:c>
      <x:c r="B72" t="str">
        <x:v>Obsolete workbook copies removed</x:v>
      </x:c>
    </x:row>
    <x:row r="74">
      <x:c r="A74" s="199" t="str">
        <x:v>Version 3.1 RC1 — Milestone 10 Advanced Planning Suite</x:v>
      </x:c>
      <x:c r="B74" s="199"/>
      <x:c r="C74" s="199"/>
      <x:c r="D74" s="199"/>
      <x:c r="E74" s="199"/>
      <x:c r="F74" s="199"/>
    </x:row>
    <x:row r="75">
      <x:c r="A75" s="197" t="str">
        <x:v>Module</x:v>
      </x:c>
      <x:c r="B75" s="197" t="str">
        <x:v>Status</x:v>
      </x:c>
    </x:row>
    <x:row r="76">
      <x:c r="A76" t="str">
        <x:v>Dynamic Tax Law Engine</x:v>
      </x:c>
      <x:c r="B76" t="str">
        <x:v>Complete</x:v>
      </x:c>
    </x:row>
    <x:row r="77">
      <x:c r="A77" t="str">
        <x:v>Advanced RMD Planner</x:v>
      </x:c>
      <x:c r="B77" t="str">
        <x:v>Complete</x:v>
      </x:c>
    </x:row>
    <x:row r="78">
      <x:c r="A78" t="str">
        <x:v>Charitable Planning Suite</x:v>
      </x:c>
      <x:c r="B78" t="str">
        <x:v>Complete</x:v>
      </x:c>
    </x:row>
    <x:row r="79">
      <x:c r="A79" t="str">
        <x:v>Estate &amp; Legacy Optimizer</x:v>
      </x:c>
      <x:c r="B79" t="str">
        <x:v>Complete</x:v>
      </x:c>
    </x:row>
    <x:row r="80">
      <x:c r="A80" t="str">
        <x:v>Healthcare Planning Suite</x:v>
      </x:c>
      <x:c r="B80" t="str">
        <x:v>Complete</x:v>
      </x:c>
    </x:row>
    <x:row r="81">
      <x:c r="A81" t="str">
        <x:v>Scenario Comparison Dashboard</x:v>
      </x:c>
      <x:c r="B81" t="str">
        <x:v>Complete</x:v>
      </x:c>
    </x:row>
  </x:sheetData>
  <x:mergeCells>
    <x:mergeCell ref="A1:F2"/>
    <x:mergeCell ref="A16:F16"/>
    <x:mergeCell ref="A17:F20"/>
    <x:mergeCell ref="A23:F23"/>
    <x:mergeCell ref="A31:F31"/>
    <x:mergeCell ref="A37:F37"/>
    <x:mergeCell ref="A47:F47"/>
    <x:mergeCell ref="A57:F57"/>
    <x:mergeCell ref="A65:F65"/>
    <x:mergeCell ref="A74:F7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2" hidden="0" customWidth="1"/>
    <x:col min="3" max="3" width="15" hidden="0" customWidth="1"/>
    <x:col min="4" max="4" width="45" hidden="0" customWidth="1"/>
  </x:cols>
  <x:sheetData>
    <x:row r="1">
      <x:c r="A1" s="80" t="str">
        <x:v>ACA Marketplace Assumptions</x:v>
      </x:c>
      <x:c r="B1" s="80"/>
      <x:c r="C1" s="80"/>
      <x:c r="D1" s="80"/>
    </x:row>
    <x:row r="2">
      <x:c r="A2" s="80"/>
      <x:c r="B2" s="80"/>
      <x:c r="C2" s="80"/>
      <x:c r="D2" s="80"/>
    </x:row>
    <x:row r="3">
      <x:c r="A3" s="25"/>
      <x:c r="B3" s="25"/>
      <x:c r="C3" s="25"/>
      <x:c r="D3" s="25"/>
    </x:row>
    <x:row r="4">
      <x:c r="A4" s="81" t="str">
        <x:v>Input</x:v>
      </x:c>
      <x:c r="B4" s="81" t="str">
        <x:v>Value</x:v>
      </x:c>
      <x:c r="C4" s="81" t="str">
        <x:v>Units</x:v>
      </x:c>
      <x:c r="D4" s="81" t="str">
        <x:v>Notes</x:v>
      </x:c>
    </x:row>
    <x:row r="5">
      <x:c r="A5" s="25" t="str">
        <x:v>Household size</x:v>
      </x:c>
      <x:c r="B5" s="82" t="n">
        <x:v>2</x:v>
      </x:c>
      <x:c r="C5" s="25" t="str">
        <x:v>people</x:v>
      </x:c>
      <x:c r="D5" s="25" t="str">
        <x:v>Tax household</x:v>
      </x:c>
    </x:row>
    <x:row r="6">
      <x:c r="A6" s="25" t="str">
        <x:v>Marketplace-covered people</x:v>
      </x:c>
      <x:c r="B6" s="82" t="n">
        <x:v>1</x:v>
      </x:c>
      <x:c r="C6" s="25" t="str">
        <x:v>people</x:v>
      </x:c>
      <x:c r="D6" s="25" t="str">
        <x:v>Exclude Medicare enrollees</x:v>
      </x:c>
    </x:row>
    <x:row r="7">
      <x:c r="A7" s="25" t="str">
        <x:v>ACA MAGI</x:v>
      </x:c>
      <x:c r="B7" s="83" t="n">
        <x:v>90000</x:v>
      </x:c>
      <x:c r="C7" s="25" t="str">
        <x:v>$/year</x:v>
      </x:c>
      <x:c r="D7" s="25" t="str">
        <x:v>AGI plus ACA addbacks</x:v>
      </x:c>
    </x:row>
    <x:row r="8">
      <x:c r="A8" s="25" t="str">
        <x:v>Benchmark SLCSP premium</x:v>
      </x:c>
      <x:c r="B8" s="83" t="n">
        <x:v>12000</x:v>
      </x:c>
      <x:c r="C8" s="25" t="str">
        <x:v>$/year</x:v>
      </x:c>
      <x:c r="D8" s="25" t="str">
        <x:v>Local second-lowest-cost Silver plan</x:v>
      </x:c>
    </x:row>
    <x:row r="9">
      <x:c r="A9" s="25" t="str">
        <x:v>Actual plan premium</x:v>
      </x:c>
      <x:c r="B9" s="83" t="n">
        <x:v>11500</x:v>
      </x:c>
      <x:c r="C9" s="25" t="str">
        <x:v>$/year</x:v>
      </x:c>
      <x:c r="D9" s="25" t="str">
        <x:v>Selected Marketplace plan</x:v>
      </x:c>
    </x:row>
    <x:row r="10">
      <x:c r="A10" s="25" t="str">
        <x:v>Tax-exempt interest</x:v>
      </x:c>
      <x:c r="B10" s="83" t="n">
        <x:v>0</x:v>
      </x:c>
      <x:c r="C10" s="25" t="str">
        <x:v>$/year</x:v>
      </x:c>
      <x:c r="D10" s="25" t="str">
        <x:v>ACA MAGI addback</x:v>
      </x:c>
    </x:row>
    <x:row r="11">
      <x:c r="A11" s="25" t="str">
        <x:v>Foreign earned income</x:v>
      </x:c>
      <x:c r="B11" s="83" t="n">
        <x:v>0</x:v>
      </x:c>
      <x:c r="C11" s="25" t="str">
        <x:v>$/year</x:v>
      </x:c>
      <x:c r="D11" s="25" t="str">
        <x:v>ACA MAGI addback</x:v>
      </x:c>
    </x:row>
    <x:row r="12">
      <x:c r="A12" s="25" t="str">
        <x:v>Nontaxable Social Security</x:v>
      </x:c>
      <x:c r="B12" s="83" t="n">
        <x:v>0</x:v>
      </x:c>
      <x:c r="C12" s="25" t="str">
        <x:v>$/year</x:v>
      </x:c>
      <x:c r="D12" s="25" t="str">
        <x:v>ACA MAGI addback</x:v>
      </x:c>
    </x:row>
    <x:row r="13">
      <x:c r="A13" s="25" t="str">
        <x:v>FPL for household</x:v>
      </x:c>
      <x:c r="B13" s="83" t="n">
        <x:v>21150</x:v>
      </x:c>
      <x:c r="C13" s="25" t="str">
        <x:v>$/year</x:v>
      </x:c>
      <x:c r="D13" s="25" t="str">
        <x:v>Configurable planning input</x:v>
      </x:c>
    </x:row>
    <x:row r="14">
      <x:c r="A14" s="25" t="str">
        <x:v>Employer affordability rate</x:v>
      </x:c>
      <x:c r="B14" s="84" t="n">
        <x:v>0.0996</x:v>
      </x:c>
      <x:c r="C14" s="25" t="str">
        <x:v>%</x:v>
      </x:c>
      <x:c r="D14" s="25" t="str">
        <x:v>2026 threshold</x:v>
      </x:c>
    </x:row>
    <x:row r="15">
      <x:c r="A15" s="25" t="str">
        <x:v>Model warning</x:v>
      </x:c>
      <x:c r="B15" s="25" t="str">
        <x:v>Illustrative contribution curve; replace with verified applicable-percentage table and local SLCSP premium before use.</x:v>
      </x:c>
      <x:c r="C15" s="25" t="str"/>
      <x:c r="D15" s="25" t="str">
        <x:v>Replace contribution curve and local premiums</x:v>
      </x:c>
    </x:row>
    <x:row r="16">
      <x:c r="A16" s="25"/>
      <x:c r="B16" s="25"/>
      <x:c r="C16" s="25"/>
      <x:c r="D16" s="25"/>
    </x:row>
    <x:row r="17">
      <x:c r="A17" s="85" t="str">
        <x:v>Primary Sources</x:v>
      </x:c>
      <x:c r="B17" s="85"/>
      <x:c r="C17" s="85"/>
      <x:c r="D17" s="85"/>
    </x:row>
    <x:row r="18">
      <x:c r="A18" s="81" t="str">
        <x:v>Topic</x:v>
      </x:c>
      <x:c r="B18" s="81" t="str">
        <x:v>URL</x:v>
      </x:c>
      <x:c r="C18" s="25"/>
      <x:c r="D18" s="25"/>
    </x:row>
    <x:row r="19">
      <x:c r="A19" s="25" t="str">
        <x:v>ACA MAGI</x:v>
      </x:c>
      <x:c r="B19" s="25" t="str">
        <x:v>https://www.healthcare.gov/glossary/modified-adjusted-gross-income-magi/</x:v>
      </x:c>
      <x:c r="C19" s="25"/>
      <x:c r="D19" s="25"/>
    </x:row>
    <x:row r="20">
      <x:c r="A20" s="25" t="str">
        <x:v>FPL and PTC</x:v>
      </x:c>
      <x:c r="B20" s="25" t="str">
        <x:v>https://www.healthcare.gov/glossary/federal-poverty-level-fpl/</x:v>
      </x:c>
      <x:c r="C20" s="25"/>
      <x:c r="D20" s="25"/>
    </x:row>
    <x:row r="21">
      <x:c r="A21" s="25" t="str">
        <x:v>2026 Marketplace</x:v>
      </x:c>
      <x:c r="B21" s="25" t="str">
        <x:v>https://www.cms.gov/newsroom/fact-sheets/plan-year-2026-marketplace-plans-prices-fact-sheet</x:v>
      </x:c>
      <x:c r="C21" s="25"/>
      <x:c r="D21" s="25"/>
    </x:row>
    <x:row r="22">
      <x:c r="A22" s="25"/>
      <x:c r="B22" s="25"/>
      <x:c r="C22" s="25"/>
      <x:c r="D22" s="25"/>
    </x:row>
    <x:row r="23">
      <x:c r="A23" s="25"/>
      <x:c r="B23" s="25"/>
      <x:c r="C23" s="25"/>
      <x:c r="D23" s="25"/>
    </x:row>
    <x:row r="24">
      <x:c r="A24" s="25"/>
      <x:c r="B24" s="25"/>
      <x:c r="C24" s="25"/>
      <x:c r="D24" s="25"/>
    </x:row>
  </x:sheetData>
  <x:mergeCells>
    <x:mergeCell ref="A1:D2"/>
    <x:mergeCell ref="A17:D17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8" hidden="0" customWidth="1"/>
  </x:cols>
  <x:sheetData>
    <x:row r="1">
      <x:c r="A1" s="80" t="str">
        <x:v>ACA MAGI and Roth Conversion Optimization</x:v>
      </x:c>
      <x:c r="B1" s="80"/>
      <x:c r="C1" s="80"/>
      <x:c r="D1" s="80"/>
      <x:c r="E1" s="80"/>
      <x:c r="F1" s="80"/>
      <x:c r="G1" s="80"/>
      <x:c r="H1" s="80"/>
    </x:row>
    <x:row r="2">
      <x:c r="A2" s="80"/>
      <x:c r="B2" s="80"/>
      <x:c r="C2" s="80"/>
      <x:c r="D2" s="80"/>
      <x:c r="E2" s="80"/>
      <x:c r="F2" s="80"/>
      <x:c r="G2" s="80"/>
      <x:c r="H2" s="80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81" t="str">
        <x:v>Scenario</x:v>
      </x:c>
      <x:c r="B4" s="81" t="str">
        <x:v>Base MAGI</x:v>
      </x:c>
      <x:c r="C4" s="81" t="str">
        <x:v>Roth Conversion</x:v>
      </x:c>
      <x:c r="D4" s="81" t="str">
        <x:v>ACA MAGI</x:v>
      </x:c>
      <x:c r="E4" s="81" t="str">
        <x:v>FPL %</x:v>
      </x:c>
      <x:c r="F4" s="81" t="str">
        <x:v>Estimated PTC</x:v>
      </x:c>
      <x:c r="G4" s="81" t="str">
        <x:v>Net Premium</x:v>
      </x:c>
      <x:c r="H4" s="81" t="str">
        <x:v>Tax + Subsidy Note</x:v>
      </x:c>
    </x:row>
    <x:row r="5">
      <x:c r="A5" s="25" t="str">
        <x:v>Conversion $0</x:v>
      </x:c>
      <x:c r="B5" s="86" t="n">
        <x:v>50000</x:v>
      </x:c>
      <x:c r="C5" s="86" t="n">
        <x:v>0</x:v>
      </x:c>
      <x:c r="D5" s="86" t="n">
        <x:f>B5+C5</x:f>
        <x:v>50000</x:v>
      </x:c>
      <x:c r="E5" s="87" t="n">
        <x:f>D5/'ACA Assumptions'!$B$13</x:f>
        <x:v>2.3640661938534278</x:v>
      </x:c>
      <x:c r="F5" s="86" t="n">
        <x:f>IF(OR(E5&lt;1,E5&gt;4),0,MAX(0,MIN('ACA Assumptions'!$B$9,'ACA Assumptions'!$B$8-D5*(0.02+(E5-1)/3*0.0796))))</x:f>
        <x:v>9190.338849487787</x:v>
      </x:c>
      <x:c r="G5" s="86" t="n">
        <x:f>MAX(0,'ACA Assumptions'!$B$9-F5)</x:f>
        <x:v>2309.6611505122128</x:v>
      </x:c>
      <x:c r="H5" s="25" t="str">
        <x:f>IF(E5&gt;4,"PTC unavailable in model","Review combined marginal tax and PTC loss")</x:f>
        <x:v>Review combined marginal tax and PTC loss</x:v>
      </x:c>
    </x:row>
    <x:row r="6">
      <x:c r="A6" s="25" t="str">
        <x:v>Conversion $10,000</x:v>
      </x:c>
      <x:c r="B6" s="86" t="n">
        <x:v>50000</x:v>
      </x:c>
      <x:c r="C6" s="86" t="n">
        <x:v>10000</x:v>
      </x:c>
      <x:c r="D6" s="86" t="n">
        <x:f>B6+C6</x:f>
        <x:v>60000</x:v>
      </x:c>
      <x:c r="E6" s="87" t="n">
        <x:f>D6/'ACA Assumptions'!$B$13</x:f>
        <x:v>2.8368794326241136</x:v>
      </x:c>
      <x:c r="F6" s="86" t="n">
        <x:f>IF(OR(E6&lt;1,E6&gt;4),0,MAX(0,MIN('ACA Assumptions'!$B$9,'ACA Assumptions'!$B$8-D6*(0.02+(E6-1)/3*0.0796))))</x:f>
        <x:v>7875.687943262411</x:v>
      </x:c>
      <x:c r="G6" s="86" t="n">
        <x:f>MAX(0,'ACA Assumptions'!$B$9-F6)</x:f>
        <x:v>3624.312056737589</x:v>
      </x:c>
      <x:c r="H6" s="25" t="str">
        <x:f>IF(E6&gt;4,"PTC unavailable in model","Review combined marginal tax and PTC loss")</x:f>
        <x:v>Review combined marginal tax and PTC loss</x:v>
      </x:c>
    </x:row>
    <x:row r="7">
      <x:c r="A7" s="25" t="str">
        <x:v>Conversion $25,000</x:v>
      </x:c>
      <x:c r="B7" s="86" t="n">
        <x:v>50000</x:v>
      </x:c>
      <x:c r="C7" s="86" t="n">
        <x:v>25000</x:v>
      </x:c>
      <x:c r="D7" s="86" t="n">
        <x:f>B7+C7</x:f>
        <x:v>75000</x:v>
      </x:c>
      <x:c r="E7" s="87" t="n">
        <x:f>D7/'ACA Assumptions'!$B$13</x:f>
        <x:v>3.5460992907801416</x:v>
      </x:c>
      <x:c r="F7" s="86" t="n">
        <x:f>IF(OR(E7&lt;1,E7&gt;4),0,MAX(0,MIN('ACA Assumptions'!$B$9,'ACA Assumptions'!$B$8-D7*(0.02+(E7-1)/3*0.0796))))</x:f>
        <x:v>5433.2624113475185</x:v>
      </x:c>
      <x:c r="G7" s="86" t="n">
        <x:f>MAX(0,'ACA Assumptions'!$B$9-F7)</x:f>
        <x:v>6066.7375886524815</x:v>
      </x:c>
      <x:c r="H7" s="25" t="str">
        <x:f>IF(E7&gt;4,"PTC unavailable in model","Review combined marginal tax and PTC loss")</x:f>
        <x:v>Review combined marginal tax and PTC loss</x:v>
      </x:c>
    </x:row>
    <x:row r="8">
      <x:c r="A8" s="25" t="str">
        <x:v>Conversion $50,000</x:v>
      </x:c>
      <x:c r="B8" s="86" t="n">
        <x:v>50000</x:v>
      </x:c>
      <x:c r="C8" s="86" t="n">
        <x:v>50000</x:v>
      </x:c>
      <x:c r="D8" s="86" t="n">
        <x:f>B8+C8</x:f>
        <x:v>100000</x:v>
      </x:c>
      <x:c r="E8" s="87" t="n">
        <x:f>D8/'ACA Assumptions'!$B$13</x:f>
        <x:v>4.7281323877068555</x:v>
      </x:c>
      <x:c r="F8" s="86" t="n">
        <x:f>IF(OR(E8&lt;1,E8&gt;4),0,MAX(0,MIN('ACA Assumptions'!$B$9,'ACA Assumptions'!$B$8-D8*(0.02+(E8-1)/3*0.0796))))</x:f>
        <x:v>0</x:v>
      </x:c>
      <x:c r="G8" s="86" t="n">
        <x:f>MAX(0,'ACA Assumptions'!$B$9-F8)</x:f>
        <x:v>11500</x:v>
      </x:c>
      <x:c r="H8" s="25" t="str">
        <x:f>IF(E8&gt;4,"PTC unavailable in model","Review combined marginal tax and PTC loss")</x:f>
        <x:v>PTC unavailable in model</x:v>
      </x:c>
    </x:row>
    <x:row r="9">
      <x:c r="A9" s="25" t="str">
        <x:v>Conversion $75,000</x:v>
      </x:c>
      <x:c r="B9" s="86" t="n">
        <x:v>50000</x:v>
      </x:c>
      <x:c r="C9" s="86" t="n">
        <x:v>75000</x:v>
      </x:c>
      <x:c r="D9" s="86" t="n">
        <x:f>B9+C9</x:f>
        <x:v>125000</x:v>
      </x:c>
      <x:c r="E9" s="87" t="n">
        <x:f>D9/'ACA Assumptions'!$B$13</x:f>
        <x:v>5.91016548463357</x:v>
      </x:c>
      <x:c r="F9" s="86" t="n">
        <x:f>IF(OR(E9&lt;1,E9&gt;4),0,MAX(0,MIN('ACA Assumptions'!$B$9,'ACA Assumptions'!$B$8-D9*(0.02+(E9-1)/3*0.0796))))</x:f>
        <x:v>0</x:v>
      </x:c>
      <x:c r="G9" s="86" t="n">
        <x:f>MAX(0,'ACA Assumptions'!$B$9-F9)</x:f>
        <x:v>11500</x:v>
      </x:c>
      <x:c r="H9" s="25" t="str">
        <x:f>IF(E9&gt;4,"PTC unavailable in model","Review combined marginal tax and PTC loss")</x:f>
        <x:v>PTC unavailable in model</x:v>
      </x:c>
    </x:row>
    <x:row r="10">
      <x:c r="A10" s="25" t="str">
        <x:v>Conversion $100,000</x:v>
      </x:c>
      <x:c r="B10" s="86" t="n">
        <x:v>50000</x:v>
      </x:c>
      <x:c r="C10" s="86" t="n">
        <x:v>100000</x:v>
      </x:c>
      <x:c r="D10" s="86" t="n">
        <x:f>B10+C10</x:f>
        <x:v>150000</x:v>
      </x:c>
      <x:c r="E10" s="87" t="n">
        <x:f>D10/'ACA Assumptions'!$B$13</x:f>
        <x:v>7.092198581560283</x:v>
      </x:c>
      <x:c r="F10" s="86" t="n">
        <x:f>IF(OR(E10&lt;1,E10&gt;4),0,MAX(0,MIN('ACA Assumptions'!$B$9,'ACA Assumptions'!$B$8-D10*(0.02+(E10-1)/3*0.0796))))</x:f>
        <x:v>0</x:v>
      </x:c>
      <x:c r="G10" s="86" t="n">
        <x:f>MAX(0,'ACA Assumptions'!$B$9-F10)</x:f>
        <x:v>11500</x:v>
      </x:c>
      <x:c r="H10" s="25" t="str">
        <x:f>IF(E10&gt;4,"PTC unavailable in model","Review combined marginal tax and PTC loss")</x:f>
        <x:v>PTC unavailable in model</x:v>
      </x:c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25"/>
      <x:c r="B12" s="25"/>
      <x:c r="C12" s="25"/>
      <x:c r="D12" s="25"/>
      <x:c r="E12" s="25"/>
      <x:c r="F12" s="25"/>
      <x:c r="G12" s="25"/>
      <x:c r="H12" s="25"/>
    </x:row>
  </x:sheetData>
  <x:mergeCells>
    <x:mergeCell ref="A1:H2"/>
  </x:mergeCells>
  <x:conditionalFormatting sqref="G5:G10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42" hidden="0" customWidth="1"/>
  </x:cols>
  <x:sheetData>
    <x:row r="1">
      <x:c r="A1" s="80" t="str">
        <x:v>Estate, Survivor and Legacy Analysis</x:v>
      </x:c>
      <x:c r="B1" s="80"/>
      <x:c r="C1" s="80"/>
      <x:c r="D1" s="80"/>
    </x:row>
    <x:row r="2">
      <x:c r="A2" s="80"/>
      <x:c r="B2" s="80"/>
      <x:c r="C2" s="80"/>
      <x:c r="D2" s="80"/>
    </x:row>
    <x:row r="3">
      <x:c r="A3" s="25"/>
      <x:c r="B3" s="25"/>
      <x:c r="C3" s="25"/>
      <x:c r="D3" s="25"/>
    </x:row>
    <x:row r="4">
      <x:c r="A4" s="81" t="str">
        <x:v>Item</x:v>
      </x:c>
      <x:c r="B4" s="81" t="str">
        <x:v>Amount</x:v>
      </x:c>
      <x:c r="C4" s="81" t="str">
        <x:v>Rate / Goal</x:v>
      </x:c>
      <x:c r="D4" s="81" t="str">
        <x:v>Description</x:v>
      </x:c>
    </x:row>
    <x:row r="5">
      <x:c r="A5" s="25" t="str">
        <x:v>Traditional accounts</x:v>
      </x:c>
      <x:c r="B5" s="88" t="n">
        <x:v>900000</x:v>
      </x:c>
      <x:c r="C5" s="25" t="str"/>
      <x:c r="D5" s="25" t="str">
        <x:v>Income in respect of a decedent exposure</x:v>
      </x:c>
    </x:row>
    <x:row r="6">
      <x:c r="A6" s="25" t="str">
        <x:v>Roth accounts</x:v>
      </x:c>
      <x:c r="B6" s="88" t="n">
        <x:v>400000</x:v>
      </x:c>
      <x:c r="C6" s="25" t="str"/>
      <x:c r="D6" s="25" t="str">
        <x:v>Generally income-tax-free to beneficiary</x:v>
      </x:c>
    </x:row>
    <x:row r="7">
      <x:c r="A7" s="25" t="str">
        <x:v>Taxable accounts</x:v>
      </x:c>
      <x:c r="B7" s="88" t="n">
        <x:v>300000</x:v>
      </x:c>
      <x:c r="C7" s="25" t="str"/>
      <x:c r="D7" s="25" t="str">
        <x:v>Potential basis adjustment</x:v>
      </x:c>
    </x:row>
    <x:row r="8">
      <x:c r="A8" s="25" t="str">
        <x:v>Other estate assets</x:v>
      </x:c>
      <x:c r="B8" s="88" t="n">
        <x:v>0</x:v>
      </x:c>
      <x:c r="C8" s="25" t="str"/>
      <x:c r="D8" s="25" t="str">
        <x:v>Real estate and other property</x:v>
      </x:c>
    </x:row>
    <x:row r="9">
      <x:c r="A9" s="25" t="str">
        <x:v>Gross estate</x:v>
      </x:c>
      <x:c r="B9" s="86" t="n">
        <x:f>SUM(B5:B8)</x:f>
        <x:v>1600000</x:v>
      </x:c>
      <x:c r="C9" s="25" t="str"/>
      <x:c r="D9" s="25" t="str">
        <x:v>Sum of modeled estate assets</x:v>
      </x:c>
    </x:row>
    <x:row r="10">
      <x:c r="A10" s="25" t="str">
        <x:v>2026 federal estate exclusion</x:v>
      </x:c>
      <x:c r="B10" s="86" t="n">
        <x:v>15000000</x:v>
      </x:c>
      <x:c r="C10" s="25" t="str"/>
      <x:c r="D10" s="25" t="str">
        <x:v>Configurable tax-year input</x:v>
      </x:c>
    </x:row>
    <x:row r="11">
      <x:c r="A11" s="25" t="str">
        <x:v>Taxable estate</x:v>
      </x:c>
      <x:c r="B11" s="86" t="n">
        <x:f>MAX(0,B9-B10)</x:f>
        <x:v>0</x:v>
      </x:c>
      <x:c r="C11" s="25" t="str"/>
      <x:c r="D11" s="25" t="str">
        <x:v>Gross estate less exclusion</x:v>
      </x:c>
    </x:row>
    <x:row r="12">
      <x:c r="A12" s="25" t="str">
        <x:v>Estimated federal estate tax</x:v>
      </x:c>
      <x:c r="B12" s="86" t="n">
        <x:f>B11*C12</x:f>
        <x:v>0</x:v>
      </x:c>
      <x:c r="C12" s="84" t="n">
        <x:v>0.4</x:v>
      </x:c>
      <x:c r="D12" s="25" t="str">
        <x:v>Simplified top-rate estimate</x:v>
      </x:c>
    </x:row>
    <x:row r="13">
      <x:c r="A13" s="25" t="str">
        <x:v>Beneficiary traditional-account rate</x:v>
      </x:c>
      <x:c r="B13" s="86" t="str"/>
      <x:c r="C13" s="84" t="n">
        <x:v>0.24</x:v>
      </x:c>
      <x:c r="D13" s="25" t="str">
        <x:v>Planning reserve</x:v>
      </x:c>
    </x:row>
    <x:row r="14">
      <x:c r="A14" s="25" t="str">
        <x:v>Beneficiary income-tax reserve</x:v>
      </x:c>
      <x:c r="B14" s="86" t="n">
        <x:f>B5*C13</x:f>
        <x:v>216000</x:v>
      </x:c>
      <x:c r="C14" s="25" t="str"/>
      <x:c r="D14" s="25" t="str">
        <x:v>Traditional accounts times assumed rate</x:v>
      </x:c>
    </x:row>
    <x:row r="15">
      <x:c r="A15" s="25" t="str">
        <x:v>Estimated net legacy</x:v>
      </x:c>
      <x:c r="B15" s="86" t="n">
        <x:f>MAX(0,B9-B12-B14)</x:f>
        <x:v>1384000</x:v>
      </x:c>
      <x:c r="C15" s="86" t="n">
        <x:v>1000000</x:v>
      </x:c>
      <x:c r="D15" s="25" t="str">
        <x:v>After estimated tax reserves</x:v>
      </x:c>
    </x:row>
    <x:row r="16">
      <x:c r="A16" s="25"/>
      <x:c r="B16" s="25"/>
      <x:c r="C16" s="25"/>
      <x:c r="D16" s="25"/>
    </x:row>
    <x:row r="17">
      <x:c r="A17" s="85" t="str">
        <x:v>2026 Reference</x:v>
      </x:c>
      <x:c r="B17" s="85"/>
      <x:c r="C17" s="85"/>
      <x:c r="D17" s="85"/>
    </x:row>
    <x:row r="18">
      <x:c r="A18" s="81" t="str">
        <x:v>Item</x:v>
      </x:c>
      <x:c r="B18" s="81" t="str">
        <x:v>Source</x:v>
      </x:c>
      <x:c r="C18" s="25"/>
      <x:c r="D18" s="25"/>
    </x:row>
    <x:row r="19">
      <x:c r="A19" s="25" t="str">
        <x:v>Estate exclusion and gift exclusion</x:v>
      </x:c>
      <x:c r="B19" s="25" t="str">
        <x:v>https://www.irs.gov/newsroom/irs-releases-tax-inflation-adjustments-for-tax-year-2026-including-amendments-from-the-one-big-beautiful-bill</x:v>
      </x:c>
      <x:c r="C19" s="25"/>
      <x:c r="D19" s="25"/>
    </x:row>
    <x:row r="20">
      <x:c r="A20" s="25" t="str">
        <x:v>Estate tax overview</x:v>
      </x:c>
      <x:c r="B20" s="25" t="str">
        <x:v>https://www.irs.gov/businesses/small-businesses-self-employed/estate-tax</x:v>
      </x:c>
      <x:c r="C20" s="25"/>
      <x:c r="D20" s="25"/>
    </x:row>
    <x:row r="21">
      <x:c r="A21" s="25"/>
      <x:c r="B21" s="25"/>
      <x:c r="C21" s="25"/>
      <x:c r="D21" s="25"/>
    </x:row>
  </x:sheetData>
  <x:mergeCells>
    <x:mergeCell ref="A1:D2"/>
    <x:mergeCell ref="A17:D17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0" t="str">
        <x:v>Charitable Giving and QCD Optimization</x:v>
      </x:c>
      <x:c r="B1" s="80"/>
      <x:c r="C1" s="80"/>
      <x:c r="D1" s="80"/>
      <x:c r="E1" s="80"/>
      <x:c r="F1" s="80"/>
    </x:row>
    <x:row r="2">
      <x:c r="A2" s="80"/>
      <x:c r="B2" s="80"/>
      <x:c r="C2" s="80"/>
      <x:c r="D2" s="80"/>
      <x:c r="E2" s="80"/>
      <x:c r="F2" s="80"/>
    </x:row>
    <x:row r="3">
      <x:c r="A3" s="25"/>
      <x:c r="B3" s="25"/>
      <x:c r="C3" s="25"/>
      <x:c r="D3" s="25"/>
      <x:c r="E3" s="25"/>
      <x:c r="F3" s="25"/>
    </x:row>
    <x:row r="4">
      <x:c r="A4" s="81" t="str">
        <x:v>Age</x:v>
      </x:c>
      <x:c r="B4" s="81" t="str">
        <x:v>RMD</x:v>
      </x:c>
      <x:c r="C4" s="81" t="str">
        <x:v>Charitable Goal</x:v>
      </x:c>
      <x:c r="D4" s="81" t="str">
        <x:v>QCD Eligible</x:v>
      </x:c>
      <x:c r="E4" s="81" t="str">
        <x:v>RMD Offset</x:v>
      </x:c>
      <x:c r="F4" s="81" t="str">
        <x:v>Cash Gift</x:v>
      </x:c>
    </x:row>
    <x:row r="5">
      <x:c r="A5" s="25" t="n">
        <x:v>68</x:v>
      </x:c>
      <x:c r="B5" s="86" t="n">
        <x:v>0</x:v>
      </x:c>
      <x:c r="C5" s="86" t="n">
        <x:v>12000</x:v>
      </x:c>
      <x:c r="D5" s="86" t="n">
        <x:f>IF(A5&gt;=70.5,MIN(C5,111000,B5),0)</x:f>
        <x:v>0</x:v>
      </x:c>
      <x:c r="E5" s="86" t="n">
        <x:f>MIN(B5,D5)</x:f>
        <x:v>0</x:v>
      </x:c>
      <x:c r="F5" s="86" t="n">
        <x:f>MAX(0,C5-D5)</x:f>
        <x:v>12000</x:v>
      </x:c>
    </x:row>
    <x:row r="6">
      <x:c r="A6" s="25" t="n">
        <x:v>69</x:v>
      </x:c>
      <x:c r="B6" s="86" t="n">
        <x:v>0</x:v>
      </x:c>
      <x:c r="C6" s="86" t="n">
        <x:v>12000</x:v>
      </x:c>
      <x:c r="D6" s="86" t="n">
        <x:f>IF(A6&gt;=70.5,MIN(C6,111000,B6),0)</x:f>
        <x:v>0</x:v>
      </x:c>
      <x:c r="E6" s="86" t="n">
        <x:f>MIN(B6,D6)</x:f>
        <x:v>0</x:v>
      </x:c>
      <x:c r="F6" s="86" t="n">
        <x:f>MAX(0,C6-D6)</x:f>
        <x:v>12000</x:v>
      </x:c>
    </x:row>
    <x:row r="7">
      <x:c r="A7" s="25" t="n">
        <x:v>70</x:v>
      </x:c>
      <x:c r="B7" s="86" t="n">
        <x:v>0</x:v>
      </x:c>
      <x:c r="C7" s="86" t="n">
        <x:v>12000</x:v>
      </x:c>
      <x:c r="D7" s="86" t="n">
        <x:f>IF(A7&gt;=70.5,MIN(C7,111000,B7),0)</x:f>
        <x:v>0</x:v>
      </x:c>
      <x:c r="E7" s="86" t="n">
        <x:f>MIN(B7,D7)</x:f>
        <x:v>0</x:v>
      </x:c>
      <x:c r="F7" s="86" t="n">
        <x:f>MAX(0,C7-D7)</x:f>
        <x:v>12000</x:v>
      </x:c>
    </x:row>
    <x:row r="8">
      <x:c r="A8" s="25" t="n">
        <x:v>71</x:v>
      </x:c>
      <x:c r="B8" s="86" t="n">
        <x:v>0</x:v>
      </x:c>
      <x:c r="C8" s="86" t="n">
        <x:v>12000</x:v>
      </x:c>
      <x:c r="D8" s="86" t="n">
        <x:f>IF(A8&gt;=70.5,MIN(C8,111000,B8),0)</x:f>
        <x:v>0</x:v>
      </x:c>
      <x:c r="E8" s="86" t="n">
        <x:f>MIN(B8,D8)</x:f>
        <x:v>0</x:v>
      </x:c>
      <x:c r="F8" s="86" t="n">
        <x:f>MAX(0,C8-D8)</x:f>
        <x:v>12000</x:v>
      </x:c>
    </x:row>
    <x:row r="9">
      <x:c r="A9" s="25" t="n">
        <x:v>72</x:v>
      </x:c>
      <x:c r="B9" s="86" t="n">
        <x:v>0</x:v>
      </x:c>
      <x:c r="C9" s="86" t="n">
        <x:v>12000</x:v>
      </x:c>
      <x:c r="D9" s="86" t="n">
        <x:f>IF(A9&gt;=70.5,MIN(C9,111000,B9),0)</x:f>
        <x:v>0</x:v>
      </x:c>
      <x:c r="E9" s="86" t="n">
        <x:f>MIN(B9,D9)</x:f>
        <x:v>0</x:v>
      </x:c>
      <x:c r="F9" s="86" t="n">
        <x:f>MAX(0,C9-D9)</x:f>
        <x:v>12000</x:v>
      </x:c>
    </x:row>
    <x:row r="10">
      <x:c r="A10" s="25" t="n">
        <x:v>73</x:v>
      </x:c>
      <x:c r="B10" s="86" t="n">
        <x:v>50000</x:v>
      </x:c>
      <x:c r="C10" s="86" t="n">
        <x:v>12000</x:v>
      </x:c>
      <x:c r="D10" s="86" t="n">
        <x:f>IF(A10&gt;=70.5,MIN(C10,111000,B10),0)</x:f>
        <x:v>12000</x:v>
      </x:c>
      <x:c r="E10" s="86" t="n">
        <x:f>MIN(B10,D10)</x:f>
        <x:v>12000</x:v>
      </x:c>
      <x:c r="F10" s="86" t="n">
        <x:f>MAX(0,C10-D10)</x:f>
        <x:v>0</x:v>
      </x:c>
    </x:row>
    <x:row r="11">
      <x:c r="A11" s="25" t="n">
        <x:v>74</x:v>
      </x:c>
      <x:c r="B11" s="86" t="n">
        <x:v>50000</x:v>
      </x:c>
      <x:c r="C11" s="86" t="n">
        <x:v>12000</x:v>
      </x:c>
      <x:c r="D11" s="86" t="n">
        <x:f>IF(A11&gt;=70.5,MIN(C11,111000,B11),0)</x:f>
        <x:v>12000</x:v>
      </x:c>
      <x:c r="E11" s="86" t="n">
        <x:f>MIN(B11,D11)</x:f>
        <x:v>12000</x:v>
      </x:c>
      <x:c r="F11" s="86" t="n">
        <x:f>MAX(0,C11-D11)</x:f>
        <x:v>0</x:v>
      </x:c>
    </x:row>
    <x:row r="12">
      <x:c r="A12" s="25" t="n">
        <x:v>75</x:v>
      </x:c>
      <x:c r="B12" s="86" t="n">
        <x:v>50000</x:v>
      </x:c>
      <x:c r="C12" s="86" t="n">
        <x:v>12000</x:v>
      </x:c>
      <x:c r="D12" s="86" t="n">
        <x:f>IF(A12&gt;=70.5,MIN(C12,111000,B12),0)</x:f>
        <x:v>12000</x:v>
      </x:c>
      <x:c r="E12" s="86" t="n">
        <x:f>MIN(B12,D12)</x:f>
        <x:v>12000</x:v>
      </x:c>
      <x:c r="F12" s="86" t="n">
        <x:f>MAX(0,C12-D12)</x:f>
        <x:v>0</x:v>
      </x:c>
    </x:row>
    <x:row r="13">
      <x:c r="A13" s="25"/>
      <x:c r="B13" s="25"/>
      <x:c r="C13" s="25"/>
      <x:c r="D13" s="25"/>
      <x:c r="E13" s="25"/>
      <x:c r="F13" s="25"/>
    </x:row>
    <x:row r="14">
      <x:c r="A14" s="81" t="str">
        <x:v>2026 Item</x:v>
      </x:c>
      <x:c r="B14" s="81" t="str">
        <x:v>Amount</x:v>
      </x:c>
      <x:c r="C14" s="81" t="str">
        <x:v>Source</x:v>
      </x:c>
      <x:c r="D14" s="25"/>
      <x:c r="E14" s="25"/>
      <x:c r="F14" s="25"/>
    </x:row>
    <x:row r="15">
      <x:c r="A15" s="25" t="str">
        <x:v>Annual QCD exclusion limit</x:v>
      </x:c>
      <x:c r="B15" s="86" t="n">
        <x:v>111000</x:v>
      </x:c>
      <x:c r="C15" s="25" t="str">
        <x:v>IRS Notice 2025-67</x:v>
      </x:c>
      <x:c r="D15" s="25"/>
      <x:c r="E15" s="25"/>
      <x:c r="F15" s="25"/>
    </x:row>
    <x:row r="16">
      <x:c r="A16" s="25" t="str">
        <x:v>One-time split-interest QCD limit</x:v>
      </x:c>
      <x:c r="B16" s="86" t="n">
        <x:v>55000</x:v>
      </x:c>
      <x:c r="C16" s="25" t="str">
        <x:v>IRS Notice 2025-67</x:v>
      </x:c>
      <x:c r="D16" s="25"/>
      <x:c r="E16" s="25"/>
      <x:c r="F16" s="25"/>
    </x:row>
    <x:row r="17">
      <x:c r="A17" s="25" t="str">
        <x:v>QCD eligibility age</x:v>
      </x:c>
      <x:c r="B17" s="25" t="n">
        <x:v>70.5</x:v>
      </x:c>
      <x:c r="C17" s="25" t="str">
        <x:v>IRC section 408(d)(8) planning input</x:v>
      </x:c>
      <x:c r="D17" s="25"/>
      <x:c r="E17" s="25"/>
      <x:c r="F17" s="25"/>
    </x:row>
    <x:row r="18">
      <x:c r="A18" s="25" t="str">
        <x:v>Official notice</x:v>
      </x:c>
      <x:c r="B18" s="25" t="str"/>
      <x:c r="C18" s="25" t="str">
        <x:v>https://www.irs.gov/pub/irs-drop/n-25-67.pdf</x:v>
      </x:c>
      <x:c r="D18" s="25"/>
      <x:c r="E18" s="25"/>
      <x:c r="F18" s="25"/>
    </x:row>
    <x:row r="19">
      <x:c r="A19" s="25"/>
      <x:c r="B19" s="25"/>
      <x:c r="C19" s="25"/>
      <x:c r="D19" s="25"/>
      <x:c r="E19" s="25"/>
      <x:c r="F19" s="25"/>
    </x:row>
    <x:row r="20">
      <x:c r="A20" s="25"/>
      <x:c r="B20" s="25"/>
      <x:c r="C20" s="25"/>
      <x:c r="D20" s="25"/>
      <x:c r="E20" s="25"/>
      <x:c r="F20" s="25"/>
    </x:row>
  </x:sheetData>
  <x:mergeCells>
    <x:mergeCell ref="A1:F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68" hidden="0" customWidth="1"/>
  </x:cols>
  <x:sheetData>
    <x:row r="1">
      <x:c r="A1" s="80" t="str">
        <x:v>Tax-Year Configuration and Update Control</x:v>
      </x:c>
      <x:c r="B1" s="80"/>
      <x:c r="C1" s="80"/>
      <x:c r="D1" s="80"/>
      <x:c r="E1" s="80"/>
    </x:row>
    <x:row r="2">
      <x:c r="A2" s="80"/>
      <x:c r="B2" s="80"/>
      <x:c r="C2" s="80"/>
      <x:c r="D2" s="80"/>
      <x:c r="E2" s="80"/>
    </x:row>
    <x:row r="3">
      <x:c r="A3" s="25"/>
      <x:c r="B3" s="25"/>
      <x:c r="C3" s="25"/>
      <x:c r="D3" s="25"/>
      <x:c r="E3" s="25"/>
    </x:row>
    <x:row r="4">
      <x:c r="A4" s="81" t="str">
        <x:v>Module</x:v>
      </x:c>
      <x:c r="B4" s="81" t="str">
        <x:v>2026 Value</x:v>
      </x:c>
      <x:c r="C4" s="81" t="str">
        <x:v>Units</x:v>
      </x:c>
      <x:c r="D4" s="81" t="str">
        <x:v>Status</x:v>
      </x:c>
      <x:c r="E4" s="81" t="str">
        <x:v>Source / Update Note</x:v>
      </x:c>
    </x:row>
    <x:row r="5">
      <x:c r="A5" s="25" t="str">
        <x:v>Standard deduction — MFJ</x:v>
      </x:c>
      <x:c r="B5" s="86" t="n">
        <x:v>32200</x:v>
      </x:c>
      <x:c r="C5" s="25" t="str">
        <x:v>$</x:v>
      </x:c>
      <x:c r="D5" s="25" t="str">
        <x:v>Verified</x:v>
      </x:c>
      <x:c r="E5" s="25" t="str">
        <x:v>https://www.irs.gov/newsroom/irs-releases-tax-inflation-adjustments-for-tax-year-2026-including-amendments-from-the-one-big-beautiful-bill</x:v>
      </x:c>
    </x:row>
    <x:row r="6">
      <x:c r="A6" s="25" t="str">
        <x:v>Estate basic exclusion</x:v>
      </x:c>
      <x:c r="B6" s="86" t="n">
        <x:v>15000000</x:v>
      </x:c>
      <x:c r="C6" s="25" t="str">
        <x:v>$</x:v>
      </x:c>
      <x:c r="D6" s="25" t="str">
        <x:v>Verified</x:v>
      </x:c>
      <x:c r="E6" s="25" t="str">
        <x:v>https://www.irs.gov/newsroom/irs-releases-tax-inflation-adjustments-for-tax-year-2026-including-amendments-from-the-one-big-beautiful-bill</x:v>
      </x:c>
    </x:row>
    <x:row r="7">
      <x:c r="A7" s="25" t="str">
        <x:v>Annual gift exclusion</x:v>
      </x:c>
      <x:c r="B7" s="86" t="n">
        <x:v>19000</x:v>
      </x:c>
      <x:c r="C7" s="25" t="str">
        <x:v>$</x:v>
      </x:c>
      <x:c r="D7" s="25" t="str">
        <x:v>Verified</x:v>
      </x:c>
      <x:c r="E7" s="25" t="str">
        <x:v>https://www.irs.gov/newsroom/irs-releases-tax-inflation-adjustments-for-tax-year-2026-including-amendments-from-the-one-big-beautiful-bill</x:v>
      </x:c>
    </x:row>
    <x:row r="8">
      <x:c r="A8" s="25" t="str">
        <x:v>QCD annual limit</x:v>
      </x:c>
      <x:c r="B8" s="86" t="n">
        <x:v>111000</x:v>
      </x:c>
      <x:c r="C8" s="25" t="str">
        <x:v>$</x:v>
      </x:c>
      <x:c r="D8" s="25" t="str">
        <x:v>Verified</x:v>
      </x:c>
      <x:c r="E8" s="25" t="str">
        <x:v>https://www.irs.gov/pub/irs-drop/n-25-67.pdf</x:v>
      </x:c>
    </x:row>
    <x:row r="9">
      <x:c r="A9" s="25" t="str">
        <x:v>QCD split-interest limit</x:v>
      </x:c>
      <x:c r="B9" s="86" t="n">
        <x:v>55000</x:v>
      </x:c>
      <x:c r="C9" s="25" t="str">
        <x:v>$</x:v>
      </x:c>
      <x:c r="D9" s="25" t="str">
        <x:v>Verified</x:v>
      </x:c>
      <x:c r="E9" s="25" t="str">
        <x:v>https://www.irs.gov/pub/irs-drop/n-25-67.pdf</x:v>
      </x:c>
    </x:row>
    <x:row r="10">
      <x:c r="A10" s="25" t="str">
        <x:v>ACA affordability threshold</x:v>
      </x:c>
      <x:c r="B10" s="89" t="n">
        <x:v>0.0996</x:v>
      </x:c>
      <x:c r="C10" s="25" t="str">
        <x:v>%</x:v>
      </x:c>
      <x:c r="D10" s="25" t="str">
        <x:v>Verified</x:v>
      </x:c>
      <x:c r="E10" s="25" t="str">
        <x:v>https://www.healthcare.gov/glossary/affordable-coverage/</x:v>
      </x:c>
    </x:row>
    <x:row r="11">
      <x:c r="A11" s="25" t="str">
        <x:v>ACA contribution curve</x:v>
      </x:c>
      <x:c r="B11" s="25" t="str">
        <x:v>Configurable</x:v>
      </x:c>
      <x:c r="C11" s="25" t="str"/>
      <x:c r="D11" s="25" t="str">
        <x:v>Review required</x:v>
      </x:c>
      <x:c r="E11" s="25" t="str">
        <x:v>Illustrative contribution curve; replace with verified applicable-percentage table and local SLCSP premium before use.</x:v>
      </x:c>
    </x:row>
    <x:row r="12">
      <x:c r="A12" s="25" t="str">
        <x:v>Local SLCSP premium</x:v>
      </x:c>
      <x:c r="B12" s="25" t="str">
        <x:v>User input</x:v>
      </x:c>
      <x:c r="C12" s="25" t="str">
        <x:v>$</x:v>
      </x:c>
      <x:c r="D12" s="25" t="str">
        <x:v>Review required</x:v>
      </x:c>
      <x:c r="E12" s="25" t="str">
        <x:v>Use Form 1095-A or HealthCare.gov tax tool</x:v>
      </x:c>
    </x:row>
    <x:row r="13">
      <x:c r="A13" s="25"/>
      <x:c r="B13" s="25"/>
      <x:c r="C13" s="25"/>
      <x:c r="D13" s="25"/>
      <x:c r="E13" s="25"/>
    </x:row>
    <x:row r="14">
      <x:c r="A14" s="25"/>
      <x:c r="B14" s="25"/>
      <x:c r="C14" s="25"/>
      <x:c r="D14" s="25"/>
      <x:c r="E14" s="25"/>
    </x:row>
  </x:sheetData>
  <x:mergeCells>
    <x:mergeCell ref="A1:E2"/>
  </x:mergeCells>
  <x:conditionalFormatting sqref="D5:D12">
    <x:cfRule type="expression" dxfId="4" priority="1">
      <x:formula>$D5="Review required"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71" t="str">
        <x:v>Integrated Retirement Decision Scorecard</x:v>
      </x:c>
      <x:c r="B1" s="71"/>
      <x:c r="C1" s="71"/>
      <x:c r="D1" s="71"/>
      <x:c r="E1" s="71"/>
      <x:c r="F1" s="71"/>
      <x:c r="G1" s="71"/>
      <x:c r="H1" s="71"/>
    </x:row>
    <x:row r="2">
      <x:c r="A2" s="71"/>
      <x:c r="B2" s="71"/>
      <x:c r="C2" s="71"/>
      <x:c r="D2" s="71"/>
      <x:c r="E2" s="71"/>
      <x:c r="F2" s="71"/>
      <x:c r="G2" s="71"/>
      <x:c r="H2" s="71"/>
    </x:row>
    <x:row r="4">
      <x:c r="A4" s="75" t="str">
        <x:v>Strategy</x:v>
      </x:c>
      <x:c r="B4" s="75" t="str">
        <x:v>Ending Wealth</x:v>
      </x:c>
      <x:c r="C4" s="75" t="str">
        <x:v>Lifetime Tax</x:v>
      </x:c>
      <x:c r="D4" s="75" t="str">
        <x:v>Healthcare Cost</x:v>
      </x:c>
      <x:c r="E4" s="75" t="str">
        <x:v>Net Legacy</x:v>
      </x:c>
      <x:c r="F4" s="75" t="str">
        <x:v>Charitable Value</x:v>
      </x:c>
      <x:c r="G4" s="75" t="str">
        <x:v>Shortfall</x:v>
      </x:c>
      <x:c r="H4" s="75" t="str">
        <x:v>Integrated Score</x:v>
      </x:c>
    </x:row>
    <x:row r="5">
      <x:c r="A5" t="str">
        <x:v>ACA-Constrained Roth</x:v>
      </x:c>
      <x:c r="B5" s="48" t="n">
        <x:v>1650000</x:v>
      </x:c>
      <x:c r="C5" s="48" t="n">
        <x:v>255000</x:v>
      </x:c>
      <x:c r="D5" s="48" t="n">
        <x:v>85000</x:v>
      </x:c>
      <x:c r="E5" s="48" t="n">
        <x:v>1400000</x:v>
      </x:c>
      <x:c r="F5" s="48" t="n">
        <x:v>96000</x:v>
      </x:c>
      <x:c r="G5" s="48" t="n">
        <x:v>0</x:v>
      </x:c>
      <x:c r="H5" s="48" t="n">
        <x:f>B5-C5-D5+20%*E5+10%*F5-2*G5</x:f>
        <x:v>1599600</x:v>
      </x:c>
    </x:row>
    <x:row r="6">
      <x:c r="A6" t="str">
        <x:v>Balanced Roth + QCD</x:v>
      </x:c>
      <x:c r="B6" s="48" t="n">
        <x:v>1725000</x:v>
      </x:c>
      <x:c r="C6" s="48" t="n">
        <x:v>270000</x:v>
      </x:c>
      <x:c r="D6" s="48" t="n">
        <x:v>92000</x:v>
      </x:c>
      <x:c r="E6" s="48" t="n">
        <x:v>1480000</x:v>
      </x:c>
      <x:c r="F6" s="48" t="n">
        <x:v>120000</x:v>
      </x:c>
      <x:c r="G6" s="48" t="n">
        <x:v>0</x:v>
      </x:c>
      <x:c r="H6" s="48" t="n">
        <x:f>B6-C6-D6+20%*E6+10%*F6-2*G6</x:f>
        <x:v>1671000</x:v>
      </x:c>
    </x:row>
    <x:row r="7">
      <x:c r="A7" t="str">
        <x:v>Aggressive Roth</x:v>
      </x:c>
      <x:c r="B7" s="48" t="n">
        <x:v>1800000</x:v>
      </x:c>
      <x:c r="C7" s="48" t="n">
        <x:v>330000</x:v>
      </x:c>
      <x:c r="D7" s="48" t="n">
        <x:v>118000</x:v>
      </x:c>
      <x:c r="E7" s="48" t="n">
        <x:v>1510000</x:v>
      </x:c>
      <x:c r="F7" s="48" t="n">
        <x:v>90000</x:v>
      </x:c>
      <x:c r="G7" s="48" t="n">
        <x:v>15000</x:v>
      </x:c>
      <x:c r="H7" s="48" t="n">
        <x:f>B7-C7-D7+20%*E7+10%*F7-2*G7</x:f>
        <x:v>1633000</x:v>
      </x:c>
    </x:row>
    <x:row r="9">
      <x:c r="A9" s="25" t="str">
        <x:v>Score = ending wealth − lifetime tax − healthcare cost + 20% of net legacy + 10% of charitable value − 2× spending shortfall.</x:v>
      </x:c>
      <x:c r="B9" s="25"/>
      <x:c r="C9" s="25"/>
      <x:c r="D9" s="25"/>
      <x:c r="E9" s="25"/>
      <x:c r="F9" s="25"/>
      <x:c r="G9" s="25"/>
      <x:c r="H9" s="25"/>
    </x:row>
  </x:sheetData>
  <x:mergeCells>
    <x:mergeCell ref="A1:H2"/>
    <x:mergeCell ref="A9:H9"/>
  </x:mergeCells>
  <x:conditionalFormatting sqref="H5:H7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2" hidden="0" customWidth="1"/>
  </x:cols>
  <x:sheetData>
    <x:row r="1">
      <x:c r="A1" s="80" t="str">
        <x:v>Advisor / Client Integrated Report</x:v>
      </x:c>
      <x:c r="B1" s="80"/>
      <x:c r="C1" s="80"/>
      <x:c r="D1" s="80"/>
      <x:c r="E1" s="80"/>
      <x:c r="F1" s="80"/>
    </x:row>
    <x:row r="2">
      <x:c r="A2" s="80"/>
      <x:c r="B2" s="80"/>
      <x:c r="C2" s="80"/>
      <x:c r="D2" s="80"/>
      <x:c r="E2" s="80"/>
      <x:c r="F2" s="80"/>
    </x:row>
    <x:row r="3">
      <x:c r="A3" s="25"/>
      <x:c r="B3" s="25"/>
      <x:c r="C3" s="25"/>
      <x:c r="D3" s="25"/>
      <x:c r="E3" s="25"/>
      <x:c r="F3" s="25"/>
    </x:row>
    <x:row r="4">
      <x:c r="A4" s="81" t="str">
        <x:v>Decision Item</x:v>
      </x:c>
      <x:c r="B4" s="81" t="str">
        <x:v>Summary</x:v>
      </x:c>
      <x:c r="C4" s="25"/>
      <x:c r="D4" s="25"/>
      <x:c r="E4" s="25"/>
      <x:c r="F4" s="25"/>
    </x:row>
    <x:row r="5">
      <x:c r="A5" s="25" t="str">
        <x:v>Recommended strategy</x:v>
      </x:c>
      <x:c r="B5" s="29" t="str">
        <x:f>INDEX('Master Recommendations'!A5:A7,MATCH(MAX('Master Recommendations'!H5:H7),'Master Recommendations'!H5:H7,0))</x:f>
        <x:v>Balanced Roth + QCD</x:v>
      </x:c>
      <x:c r="C5" s="25"/>
      <x:c r="D5" s="25"/>
      <x:c r="E5" s="25"/>
      <x:c r="F5" s="25"/>
    </x:row>
    <x:row r="6">
      <x:c r="A6" s="25" t="str">
        <x:v>Highest integrated score</x:v>
      </x:c>
      <x:c r="B6" s="86" t="n">
        <x:f>MAX('Master Recommendations'!H5:H7)</x:f>
        <x:v>1671000</x:v>
      </x:c>
      <x:c r="C6" s="25"/>
      <x:c r="D6" s="25"/>
      <x:c r="E6" s="25"/>
      <x:c r="F6" s="25"/>
    </x:row>
    <x:row r="7">
      <x:c r="A7" s="25" t="str">
        <x:v>ACA planning</x:v>
      </x:c>
      <x:c r="B7" s="25" t="str">
        <x:v>Review MAGI and Roth conversion tradeoff before spouse reaches Medicare eligibility.</x:v>
      </x:c>
      <x:c r="C7" s="25"/>
      <x:c r="D7" s="25"/>
      <x:c r="E7" s="25"/>
      <x:c r="F7" s="25"/>
    </x:row>
    <x:row r="8">
      <x:c r="A8" s="25" t="str">
        <x:v>Estate planning</x:v>
      </x:c>
      <x:c r="B8" s="25" t="str">
        <x:v>Traditional-account beneficiary tax reserve is included in modeled net legacy.</x:v>
      </x:c>
      <x:c r="C8" s="25"/>
      <x:c r="D8" s="25"/>
      <x:c r="E8" s="25"/>
      <x:c r="F8" s="25"/>
    </x:row>
    <x:row r="9">
      <x:c r="A9" s="25" t="str">
        <x:v>Charitable planning</x:v>
      </x:c>
      <x:c r="B9" s="25" t="str">
        <x:v>Use QCDs after age 70½ when consistent with charitable intent and IRA availability.</x:v>
      </x:c>
      <x:c r="C9" s="25"/>
      <x:c r="D9" s="25"/>
      <x:c r="E9" s="25"/>
      <x:c r="F9" s="25"/>
    </x:row>
    <x:row r="10">
      <x:c r="A10" s="25" t="str">
        <x:v>Tax-law updates</x:v>
      </x:c>
      <x:c r="B10" s="25" t="str">
        <x:v>Yellow items on Tax Law Configuration require annual or location-specific validation.</x:v>
      </x:c>
      <x:c r="C10" s="25"/>
      <x:c r="D10" s="25"/>
      <x:c r="E10" s="25"/>
      <x:c r="F10" s="25"/>
    </x:row>
    <x:row r="11">
      <x:c r="A11" s="25" t="str">
        <x:v>Workbook audit</x:v>
      </x:c>
      <x:c r="B11" s="25" t="str">
        <x:v>Review the Audit sheet and formula error checks before relying on output.</x:v>
      </x:c>
      <x:c r="C11" s="25"/>
      <x:c r="D11" s="25"/>
      <x:c r="E11" s="25"/>
      <x:c r="F11" s="25"/>
    </x:row>
    <x:row r="12">
      <x:c r="A12" s="25" t="str">
        <x:v>Client discussion</x:v>
      </x:c>
      <x:c r="B12" s="25" t="str">
        <x:v>Balance taxes, healthcare, liquidity, risk, charitable goals, and legacy—not taxes alone.</x:v>
      </x:c>
      <x:c r="C12" s="25"/>
      <x:c r="D12" s="25"/>
      <x:c r="E12" s="25"/>
      <x:c r="F12" s="25"/>
    </x:row>
    <x:row r="13">
      <x:c r="A13" s="25" t="str">
        <x:v>Limitation</x:v>
      </x:c>
      <x:c r="B13" s="25" t="str">
        <x:v>Planning illustration only; not tax, legal, investment, Medicare, or ACA advice.</x:v>
      </x:c>
      <x:c r="C13" s="25"/>
      <x:c r="D13" s="25"/>
      <x:c r="E13" s="25"/>
      <x:c r="F13" s="25"/>
    </x:row>
    <x:row r="14">
      <x:c r="A14" s="25" t="str">
        <x:v>Version</x:v>
      </x:c>
      <x:c r="B14" s="25" t="str">
        <x:v>2.0 integrated Milestones 9–13</x:v>
      </x:c>
      <x:c r="C14" s="25"/>
      <x:c r="D14" s="25"/>
      <x:c r="E14" s="25"/>
      <x:c r="F14" s="25"/>
    </x:row>
    <x:row r="15">
      <x:c r="A15" s="25"/>
      <x:c r="B15" s="25"/>
      <x:c r="C15" s="25"/>
      <x:c r="D15" s="25"/>
      <x:c r="E15" s="25"/>
      <x:c r="F15" s="25"/>
    </x:row>
    <x:row r="16">
      <x:c r="A16" s="25"/>
      <x:c r="B16" s="25"/>
      <x:c r="C16" s="25"/>
      <x:c r="D16" s="25"/>
      <x:c r="E16" s="25"/>
      <x:c r="F16" s="25"/>
    </x:row>
  </x:sheetData>
  <x:mergeCells>
    <x:mergeCell ref="A1:F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62" hidden="0" customWidth="1"/>
  </x:cols>
  <x:sheetData>
    <x:row r="1">
      <x:c r="A1" s="101" t="str">
        <x:v>State Income Tax Configuration</x:v>
      </x:c>
      <x:c r="B1" s="101"/>
      <x:c r="C1" s="101"/>
      <x:c r="D1" s="101"/>
      <x:c r="E1" s="101"/>
      <x:c r="F1" s="101"/>
    </x:row>
    <x:row r="2">
      <x:c r="A2" s="101"/>
      <x:c r="B2" s="101"/>
      <x:c r="C2" s="101"/>
      <x:c r="D2" s="101"/>
      <x:c r="E2" s="101"/>
      <x:c r="F2" s="101"/>
    </x:row>
    <x:row r="3">
      <x:c r="A3" s="25"/>
      <x:c r="B3" s="25"/>
      <x:c r="C3" s="25"/>
      <x:c r="D3" s="25"/>
      <x:c r="E3" s="25"/>
      <x:c r="F3" s="25"/>
    </x:row>
    <x:row r="4">
      <x:c r="A4" s="102" t="str">
        <x:v>State</x:v>
      </x:c>
      <x:c r="B4" s="102" t="str">
        <x:v>Method</x:v>
      </x:c>
      <x:c r="C4" s="102" t="str">
        <x:v>Ordinary Tax</x:v>
      </x:c>
      <x:c r="D4" s="102" t="str">
        <x:v>Capital Gains</x:v>
      </x:c>
      <x:c r="E4" s="102" t="str">
        <x:v>Review Status</x:v>
      </x:c>
      <x:c r="F4" s="102" t="str">
        <x:v>Official Source</x:v>
      </x:c>
    </x:row>
    <x:row r="5">
      <x:c r="A5" s="25" t="str">
        <x:v>Texas</x:v>
      </x:c>
      <x:c r="B5" s="25" t="str">
        <x:v>None</x:v>
      </x:c>
      <x:c r="C5" s="86" t="n">
        <x:v>0</x:v>
      </x:c>
      <x:c r="D5" s="86" t="n">
        <x:v>0</x:v>
      </x:c>
      <x:c r="E5" s="25" t="str">
        <x:v>Verified template</x:v>
      </x:c>
      <x:c r="F5" s="25" t="str">
        <x:v>https://comptroller.texas.gov/economy/fiscal-notes/archive/2023/dec/proptax.php</x:v>
      </x:c>
    </x:row>
    <x:row r="6">
      <x:c r="A6" s="25" t="str">
        <x:v>Florida</x:v>
      </x:c>
      <x:c r="B6" s="25" t="str">
        <x:v>None</x:v>
      </x:c>
      <x:c r="C6" s="86" t="n">
        <x:v>0</x:v>
      </x:c>
      <x:c r="D6" s="86" t="n">
        <x:v>0</x:v>
      </x:c>
      <x:c r="E6" s="25" t="str">
        <x:v>Verified template</x:v>
      </x:c>
      <x:c r="F6" s="25" t="str">
        <x:v>https://floridarevenue.com/Forms_library/current/brochure/gt800025.pdf</x:v>
      </x:c>
    </x:row>
    <x:row r="7">
      <x:c r="A7" s="25" t="str">
        <x:v>New Mexico</x:v>
      </x:c>
      <x:c r="B7" s="25" t="str">
        <x:v>Manual review</x:v>
      </x:c>
      <x:c r="C7" s="86" t="str"/>
      <x:c r="D7" s="86" t="str"/>
      <x:c r="E7" s="25" t="str">
        <x:v>Configuration required</x:v>
      </x:c>
      <x:c r="F7" s="25" t="str">
        <x:v>https://www.tax.newmexico.gov/individuals/personal-income-tax-information-overview/</x:v>
      </x:c>
    </x:row>
    <x:row r="8">
      <x:c r="A8" s="25" t="str">
        <x:v>Generic progressive</x:v>
      </x:c>
      <x:c r="B8" s="25" t="str">
        <x:v>Progressive template</x:v>
      </x:c>
      <x:c r="C8" s="86" t="str"/>
      <x:c r="D8" s="86" t="str"/>
      <x:c r="E8" s="25" t="str">
        <x:v>Illustrative only</x:v>
      </x:c>
      <x:c r="F8" s="25" t="str">
        <x:v>Replace with verified state configuration</x:v>
      </x:c>
    </x:row>
    <x:row r="9">
      <x:c r="A9" s="25"/>
      <x:c r="B9" s="25"/>
      <x:c r="C9" s="25"/>
      <x:c r="D9" s="25"/>
      <x:c r="E9" s="25"/>
      <x:c r="F9" s="25"/>
    </x:row>
    <x:row r="10">
      <x:c r="A10" s="103" t="str">
        <x:v>Selected-State Planning Inputs</x:v>
      </x:c>
      <x:c r="B10" s="103"/>
      <x:c r="C10" s="103"/>
      <x:c r="D10" s="103"/>
      <x:c r="E10" s="103"/>
      <x:c r="F10" s="103"/>
    </x:row>
    <x:row r="11">
      <x:c r="A11" s="102" t="str">
        <x:v>Input</x:v>
      </x:c>
      <x:c r="B11" s="102" t="str">
        <x:v>Value</x:v>
      </x:c>
      <x:c r="C11" s="102" t="str">
        <x:v>Notes</x:v>
      </x:c>
      <x:c r="D11" s="25"/>
      <x:c r="E11" s="25"/>
      <x:c r="F11" s="25"/>
    </x:row>
    <x:row r="12">
      <x:c r="A12" s="25" t="str">
        <x:v>State code</x:v>
      </x:c>
      <x:c r="B12" s="104" t="str">
        <x:v>TX</x:v>
      </x:c>
      <x:c r="C12" s="25" t="str">
        <x:v>Use a configured two-letter code</x:v>
      </x:c>
      <x:c r="D12" s="25"/>
      <x:c r="E12" s="25"/>
      <x:c r="F12" s="25"/>
    </x:row>
    <x:row r="13">
      <x:c r="A13" s="25" t="str">
        <x:v>Federal AGI</x:v>
      </x:c>
      <x:c r="B13" s="88" t="n">
        <x:v>150000</x:v>
      </x:c>
      <x:c r="C13" s="25" t="str">
        <x:v>Annual planning amount</x:v>
      </x:c>
      <x:c r="D13" s="25"/>
      <x:c r="E13" s="25"/>
      <x:c r="F13" s="25"/>
    </x:row>
    <x:row r="14">
      <x:c r="A14" s="25" t="str">
        <x:v>Ordinary income</x:v>
      </x:c>
      <x:c r="B14" s="88" t="n">
        <x:v>150000</x:v>
      </x:c>
      <x:c r="C14" s="25" t="str">
        <x:v>May differ from federal AGI by state</x:v>
      </x:c>
      <x:c r="D14" s="25"/>
      <x:c r="E14" s="25"/>
      <x:c r="F14" s="25"/>
    </x:row>
    <x:row r="15">
      <x:c r="A15" s="25" t="str">
        <x:v>Capital gains</x:v>
      </x:c>
      <x:c r="B15" s="88" t="n">
        <x:v>0</x:v>
      </x:c>
      <x:c r="C15" s="25" t="str">
        <x:v>Separate treatment varies by state</x:v>
      </x:c>
      <x:c r="D15" s="25"/>
      <x:c r="E15" s="25"/>
      <x:c r="F15" s="25"/>
    </x:row>
    <x:row r="16">
      <x:c r="A16" s="25" t="str">
        <x:v>Estimated state tax</x:v>
      </x:c>
      <x:c r="B16" s="86" t="n">
        <x:v>0</x:v>
      </x:c>
      <x:c r="C16" s="25" t="str">
        <x:v>Produced by Python state-tax engine</x:v>
      </x:c>
      <x:c r="D16" s="25"/>
      <x:c r="E16" s="25"/>
      <x:c r="F16" s="25"/>
    </x:row>
    <x:row r="17">
      <x:c r="A17" s="25"/>
      <x:c r="B17" s="25"/>
      <x:c r="C17" s="25"/>
      <x:c r="D17" s="25"/>
      <x:c r="E17" s="25"/>
      <x:c r="F17" s="25"/>
    </x:row>
    <x:row r="18">
      <x:c r="A18" s="25"/>
      <x:c r="B18" s="25"/>
      <x:c r="C18" s="25"/>
      <x:c r="D18" s="25"/>
      <x:c r="E18" s="25"/>
      <x:c r="F18" s="25"/>
    </x:row>
  </x:sheetData>
  <x:mergeCells>
    <x:mergeCell ref="A1:F2"/>
    <x:mergeCell ref="A10:F10"/>
  </x:mergeCells>
  <x:conditionalFormatting sqref="E5:E8">
    <x:cfRule type="expression" dxfId="5" priority="1">
      <x:formula>$E5="Configuration required"</x:formula>
    </x:cfRule>
    <x:cfRule type="expression" dxfId="6" priority="2">
      <x:formula>$E5="Illustrative only"</x:formula>
    </x:cfRule>
  </x:conditionalFormatting>
  <x:dataValidations count="1">
    <x:dataValidation type="list" sqref="B12">
      <x:formula1>"TX,FL,NM,ZZ"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55" hidden="0" customWidth="1"/>
  </x:cols>
  <x:sheetData>
    <x:row r="1">
      <x:c r="A1" s="101" t="str">
        <x:v>Parameter-Driven Planning Rules</x:v>
      </x:c>
      <x:c r="B1" s="101"/>
      <x:c r="C1" s="101"/>
      <x:c r="D1" s="101"/>
      <x:c r="E1" s="101"/>
      <x:c r="F1" s="101"/>
      <x:c r="G1" s="101"/>
    </x:row>
    <x:row r="2">
      <x:c r="A2" s="101"/>
      <x:c r="B2" s="101"/>
      <x:c r="C2" s="101"/>
      <x:c r="D2" s="101"/>
      <x:c r="E2" s="101"/>
      <x:c r="F2" s="101"/>
      <x:c r="G2" s="101"/>
    </x:row>
    <x:row r="3">
      <x:c r="A3" s="25"/>
      <x:c r="B3" s="25"/>
      <x:c r="C3" s="25"/>
      <x:c r="D3" s="25"/>
      <x:c r="E3" s="25"/>
      <x:c r="F3" s="25"/>
      <x:c r="G3" s="25"/>
    </x:row>
    <x:row r="4">
      <x:c r="A4" s="102" t="str">
        <x:v>Rule ID</x:v>
      </x:c>
      <x:c r="B4" s="102" t="str">
        <x:v>Priority</x:v>
      </x:c>
      <x:c r="C4" s="102" t="str">
        <x:v>Field</x:v>
      </x:c>
      <x:c r="D4" s="102" t="str">
        <x:v>Operator</x:v>
      </x:c>
      <x:c r="E4" s="102" t="str">
        <x:v>Value</x:v>
      </x:c>
      <x:c r="F4" s="102" t="str">
        <x:v>Output</x:v>
      </x:c>
      <x:c r="G4" s="102" t="str">
        <x:v>Explanation</x:v>
      </x:c>
    </x:row>
    <x:row r="5">
      <x:c r="A5" s="25" t="str">
        <x:v>rmd-required</x:v>
      </x:c>
      <x:c r="B5" s="25" t="n">
        <x:v>10</x:v>
      </x:c>
      <x:c r="C5" s="25" t="str">
        <x:v>primary_age</x:v>
      </x:c>
      <x:c r="D5" s="25" t="str">
        <x:v>gte</x:v>
      </x:c>
      <x:c r="E5" s="25" t="n">
        <x:v>73</x:v>
      </x:c>
      <x:c r="F5" s="25" t="str">
        <x:v>{"rmd_required": true}</x:v>
      </x:c>
      <x:c r="G5" s="25" t="str">
        <x:v>RMD calculation is required under the configured starting-age assumption.</x:v>
      </x:c>
    </x:row>
    <x:row r="6">
      <x:c r="A6" s="25" t="str">
        <x:v>qcd-eligible</x:v>
      </x:c>
      <x:c r="B6" s="25" t="n">
        <x:v>20</x:v>
      </x:c>
      <x:c r="C6" s="25" t="str">
        <x:v>primary_age</x:v>
      </x:c>
      <x:c r="D6" s="25" t="str">
        <x:v>gte</x:v>
      </x:c>
      <x:c r="E6" s="25" t="n">
        <x:v>70.5</x:v>
      </x:c>
      <x:c r="F6" s="25" t="str">
        <x:v>{"qcd_eligible": true}</x:v>
      </x:c>
      <x:c r="G6" s="25" t="str">
        <x:v>The taxpayer meets the configured QCD eligibility age.</x:v>
      </x:c>
    </x:row>
    <x:row r="7">
      <x:c r="A7" s="25" t="str">
        <x:v>aca-review</x:v>
      </x:c>
      <x:c r="B7" s="25" t="n">
        <x:v>30</x:v>
      </x:c>
      <x:c r="C7" s="25" t="str">
        <x:v>spouse_age</x:v>
      </x:c>
      <x:c r="D7" s="25" t="str">
        <x:v>lt</x:v>
      </x:c>
      <x:c r="E7" s="25" t="n">
        <x:v>65</x:v>
      </x:c>
      <x:c r="F7" s="25" t="str">
        <x:v>{"aca_module_active": true}</x:v>
      </x:c>
      <x:c r="G7" s="25" t="str">
        <x:v>A pre-Medicare spouse may require ACA Marketplace analysis.</x:v>
      </x:c>
    </x:row>
    <x:row r="8">
      <x:c r="A8" s="25" t="str">
        <x:v>irmaa-review</x:v>
      </x:c>
      <x:c r="B8" s="25" t="n">
        <x:v>40</x:v>
      </x:c>
      <x:c r="C8" s="25" t="str">
        <x:v>primary_age</x:v>
      </x:c>
      <x:c r="D8" s="25" t="str">
        <x:v>gte</x:v>
      </x:c>
      <x:c r="E8" s="25" t="n">
        <x:v>65</x:v>
      </x:c>
      <x:c r="F8" s="25" t="str">
        <x:v>{"irmaa_module_active": true}</x:v>
      </x:c>
      <x:c r="G8" s="25" t="str">
        <x:v>Medicare IRMAA analysis should be included.</x:v>
      </x:c>
    </x:row>
    <x:row r="9">
      <x:c r="A9" s="25"/>
      <x:c r="B9" s="25"/>
      <x:c r="C9" s="25"/>
      <x:c r="D9" s="25"/>
      <x:c r="E9" s="25"/>
      <x:c r="F9" s="25"/>
      <x:c r="G9" s="25"/>
    </x:row>
    <x:row r="10">
      <x:c r="A10" s="25"/>
      <x:c r="B10" s="25"/>
      <x:c r="C10" s="25"/>
      <x:c r="D10" s="25"/>
      <x:c r="E10" s="25"/>
      <x:c r="F10" s="25"/>
      <x:c r="G10" s="25"/>
    </x:row>
    <x:row r="11">
      <x:c r="A11" s="25"/>
      <x:c r="B11" s="25"/>
      <x:c r="C11" s="25"/>
      <x:c r="D11" s="25"/>
      <x:c r="E11" s="25"/>
      <x:c r="F11" s="25"/>
      <x:c r="G11" s="25"/>
    </x:row>
    <x:row r="12">
      <x:c r="A12" s="25"/>
      <x:c r="B12" s="25"/>
      <x:c r="C12" s="25"/>
      <x:c r="D12" s="25"/>
      <x:c r="E12" s="25"/>
      <x:c r="F12" s="25"/>
      <x:c r="G12" s="25"/>
    </x:row>
  </x:sheetData>
  <x:mergeCells>
    <x:mergeCell ref="A1:G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2" hidden="0" customWidth="1"/>
    <x:col min="8" max="8" width="16" hidden="0" customWidth="1"/>
  </x:cols>
  <x:sheetData>
    <x:row r="1">
      <x:c r="A1" s="101" t="str">
        <x:v>Scenario Version History and Comparison</x:v>
      </x:c>
      <x:c r="B1" s="101"/>
      <x:c r="C1" s="101"/>
      <x:c r="D1" s="101"/>
      <x:c r="E1" s="101"/>
      <x:c r="F1" s="101"/>
      <x:c r="G1" s="101"/>
      <x:c r="H1" s="101"/>
    </x:row>
    <x:row r="2">
      <x:c r="A2" s="101"/>
      <x:c r="B2" s="101"/>
      <x:c r="C2" s="101"/>
      <x:c r="D2" s="101"/>
      <x:c r="E2" s="101"/>
      <x:c r="F2" s="101"/>
      <x:c r="G2" s="101"/>
      <x:c r="H2" s="101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102" t="str">
        <x:v>Version</x:v>
      </x:c>
      <x:c r="B4" s="102" t="str">
        <x:v>Label</x:v>
      </x:c>
      <x:c r="C4" s="102" t="str">
        <x:v>Parent</x:v>
      </x:c>
      <x:c r="D4" s="102" t="str">
        <x:v>Return</x:v>
      </x:c>
      <x:c r="E4" s="102" t="str">
        <x:v>Spending</x:v>
      </x:c>
      <x:c r="F4" s="102" t="str">
        <x:v>State</x:v>
      </x:c>
      <x:c r="G4" s="102" t="str">
        <x:v>Payload Hash</x:v>
      </x:c>
      <x:c r="H4" s="102" t="str">
        <x:v>Status</x:v>
      </x:c>
    </x:row>
    <x:row r="5">
      <x:c r="A5" s="25" t="n">
        <x:v>1</x:v>
      </x:c>
      <x:c r="B5" s="25" t="str">
        <x:v>Base case</x:v>
      </x:c>
      <x:c r="C5" s="25" t="str"/>
      <x:c r="D5" s="89" t="n">
        <x:v>0.07</x:v>
      </x:c>
      <x:c r="E5" s="86" t="n">
        <x:v>85000</x:v>
      </x:c>
      <x:c r="F5" s="25" t="str">
        <x:v>TX</x:v>
      </x:c>
      <x:c r="G5" s="25" t="str">
        <x:v>Generated by ScenarioStore</x:v>
      </x:c>
      <x:c r="H5" s="25" t="str">
        <x:v>Current</x:v>
      </x:c>
    </x:row>
    <x:row r="6">
      <x:c r="A6" s="25" t="n">
        <x:v>2</x:v>
      </x:c>
      <x:c r="B6" s="25" t="str">
        <x:v>Stress case</x:v>
      </x:c>
      <x:c r="C6" s="25" t="str">
        <x:v>Version 1</x:v>
      </x:c>
      <x:c r="D6" s="89" t="n">
        <x:v>0.05</x:v>
      </x:c>
      <x:c r="E6" s="86" t="n">
        <x:v>95000</x:v>
      </x:c>
      <x:c r="F6" s="25" t="str">
        <x:v>TX</x:v>
      </x:c>
      <x:c r="G6" s="25" t="str">
        <x:v>Generated by ScenarioStore</x:v>
      </x:c>
      <x:c r="H6" s="25" t="str">
        <x:v>Alternative</x:v>
      </x:c>
    </x:row>
    <x:row r="7">
      <x:c r="A7" s="25" t="n">
        <x:v>3</x:v>
      </x:c>
      <x:c r="B7" s="25" t="str">
        <x:v>Florida relocation</x:v>
      </x:c>
      <x:c r="C7" s="25" t="str">
        <x:v>Version 1</x:v>
      </x:c>
      <x:c r="D7" s="89" t="n">
        <x:v>0.07</x:v>
      </x:c>
      <x:c r="E7" s="86" t="n">
        <x:v>85000</x:v>
      </x:c>
      <x:c r="F7" s="25" t="str">
        <x:v>FL</x:v>
      </x:c>
      <x:c r="G7" s="25" t="str">
        <x:v>Generated by ScenarioStore</x:v>
      </x:c>
      <x:c r="H7" s="25" t="str">
        <x:v>Alternative</x:v>
      </x:c>
    </x:row>
    <x:row r="8">
      <x:c r="A8" s="25"/>
      <x:c r="B8" s="25"/>
      <x:c r="C8" s="25"/>
      <x:c r="D8" s="25"/>
      <x:c r="E8" s="25"/>
      <x:c r="F8" s="25"/>
      <x:c r="G8" s="25"/>
      <x:c r="H8" s="25"/>
    </x:row>
    <x:row r="9">
      <x:c r="A9" s="103" t="str">
        <x:v>Version Comparison</x:v>
      </x:c>
      <x:c r="B9" s="103"/>
      <x:c r="C9" s="103"/>
      <x:c r="D9" s="103"/>
      <x:c r="E9" s="103"/>
      <x:c r="F9" s="103"/>
      <x:c r="G9" s="103"/>
      <x:c r="H9" s="103"/>
    </x:row>
    <x:row r="10">
      <x:c r="A10" s="102" t="str">
        <x:v>Field</x:v>
      </x:c>
      <x:c r="B10" s="102" t="str">
        <x:v>Version 1</x:v>
      </x:c>
      <x:c r="C10" s="102" t="str">
        <x:v>Version 2</x:v>
      </x:c>
      <x:c r="D10" s="102" t="str">
        <x:v>Change</x:v>
      </x:c>
      <x:c r="E10" s="25"/>
      <x:c r="F10" s="25"/>
      <x:c r="G10" s="25"/>
      <x:c r="H10" s="25"/>
    </x:row>
    <x:row r="11">
      <x:c r="A11" s="25" t="str">
        <x:v>Return rate</x:v>
      </x:c>
      <x:c r="B11" s="89" t="n">
        <x:v>0.07</x:v>
      </x:c>
      <x:c r="C11" s="89" t="n">
        <x:v>0.05</x:v>
      </x:c>
      <x:c r="D11" s="25" t="str">
        <x:v>Change</x:v>
      </x:c>
      <x:c r="E11" s="25"/>
      <x:c r="F11" s="25"/>
      <x:c r="G11" s="25"/>
      <x:c r="H11" s="25"/>
    </x:row>
    <x:row r="12">
      <x:c r="A12" s="25" t="str">
        <x:v>Annual spending</x:v>
      </x:c>
      <x:c r="B12" s="86" t="n">
        <x:v>85000</x:v>
      </x:c>
      <x:c r="C12" s="86" t="n">
        <x:v>95000</x:v>
      </x:c>
      <x:c r="D12" s="25" t="str">
        <x:v>-2.0 percentage points</x:v>
      </x:c>
      <x:c r="E12" s="25"/>
      <x:c r="F12" s="25"/>
      <x:c r="G12" s="25"/>
      <x:c r="H12" s="25"/>
    </x:row>
    <x:row r="13">
      <x:c r="A13" s="25" t="str">
        <x:v>State</x:v>
      </x:c>
      <x:c r="B13" s="25" t="str">
        <x:v>TX</x:v>
      </x:c>
      <x:c r="C13" s="25" t="str">
        <x:v>TX</x:v>
      </x:c>
      <x:c r="D13" s="25" t="str">
        <x:v>$10,000 increase</x:v>
      </x:c>
      <x:c r="E13" s="25"/>
      <x:c r="F13" s="25"/>
      <x:c r="G13" s="25"/>
      <x:c r="H13" s="25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5"/>
      <x:c r="B15" s="25"/>
      <x:c r="C15" s="25"/>
      <x:c r="D15" s="25"/>
      <x:c r="E15" s="25"/>
      <x:c r="F15" s="25"/>
      <x:c r="G15" s="25"/>
      <x:c r="H15" s="25"/>
    </x:row>
  </x:sheetData>
  <x:mergeCells>
    <x:mergeCell ref="A1:H2"/>
    <x:mergeCell ref="A9:H9"/>
  </x:mergeCells>
  <x:dataValidations count="1">
    <x:dataValidation type="list" sqref="H5:H7">
      <x:formula1>"Current,Alternative,Archived"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15" hidden="0" customWidth="1"/>
    <x:col min="4" max="4" width="28" hidden="0" customWidth="1"/>
    <x:col min="5" max="5" width="28" hidden="0" customWidth="1"/>
    <x:col min="6" max="6" width="36" hidden="0" customWidth="1"/>
  </x:cols>
  <x:sheetData>
    <x:row r="1">
      <x:c r="A1" s="114" t="str">
        <x:v>IRA Withdrawal Strategy</x:v>
      </x:c>
      <x:c r="B1" s="114"/>
      <x:c r="C1" s="114"/>
      <x:c r="D1" s="114"/>
      <x:c r="E1" s="114"/>
      <x:c r="F1" s="114"/>
    </x:row>
    <x:row r="2">
      <x:c r="A2" s="114"/>
      <x:c r="B2" s="114"/>
      <x:c r="C2" s="114"/>
      <x:c r="D2" s="114"/>
      <x:c r="E2" s="114"/>
      <x:c r="F2" s="114"/>
    </x:row>
    <x:row r="3">
      <x:c r="A3" s="25"/>
      <x:c r="B3" s="25"/>
      <x:c r="C3" s="25"/>
      <x:c r="D3" s="25"/>
      <x:c r="E3" s="25"/>
      <x:c r="F3" s="25"/>
    </x:row>
    <x:row r="4">
      <x:c r="A4" s="115" t="str">
        <x:v>Input</x:v>
      </x:c>
      <x:c r="B4" s="115" t="str">
        <x:v>Value</x:v>
      </x:c>
      <x:c r="C4" s="115" t="str">
        <x:v>Units</x:v>
      </x:c>
      <x:c r="D4" s="115" t="str">
        <x:v>Treatment</x:v>
      </x:c>
      <x:c r="E4" s="115" t="str">
        <x:v>Account Effect</x:v>
      </x:c>
      <x:c r="F4" s="115" t="str">
        <x:v>Notes</x:v>
      </x:c>
    </x:row>
    <x:row r="5">
      <x:c r="A5" s="25" t="str">
        <x:v>Annual IRA withdrawal for spending</x:v>
      </x:c>
      <x:c r="B5" s="88" t="n">
        <x:v>24000</x:v>
      </x:c>
      <x:c r="C5" s="25" t="str">
        <x:v>$/year</x:v>
      </x:c>
      <x:c r="D5" s="25" t="str">
        <x:v>Taxable distribution</x:v>
      </x:c>
      <x:c r="E5" s="25" t="str">
        <x:v>Reduces Traditional IRA</x:v>
      </x:c>
      <x:c r="F5" s="25" t="str">
        <x:v>Not deposited into Roth</x:v>
      </x:c>
    </x:row>
    <x:row r="6">
      <x:c r="A6" s="25" t="str">
        <x:v>Annual Roth conversion</x:v>
      </x:c>
      <x:c r="B6" s="88" t="n">
        <x:v>50000</x:v>
      </x:c>
      <x:c r="C6" s="25" t="str">
        <x:v>$/year</x:v>
      </x:c>
      <x:c r="D6" s="25" t="str">
        <x:v>Taxable conversion</x:v>
      </x:c>
      <x:c r="E6" s="25" t="str">
        <x:v>Traditional IRA → Roth IRA</x:v>
      </x:c>
      <x:c r="F6" s="25" t="str">
        <x:v>Tracked separately from spending</x:v>
      </x:c>
    </x:row>
    <x:row r="7">
      <x:c r="A7" s="25" t="str">
        <x:v>Annual IRA taxable reinvestment</x:v>
      </x:c>
      <x:c r="B7" s="88" t="n">
        <x:v>0</x:v>
      </x:c>
      <x:c r="C7" s="25" t="str">
        <x:v>$/year</x:v>
      </x:c>
      <x:c r="D7" s="25" t="str">
        <x:v>Taxable distribution</x:v>
      </x:c>
      <x:c r="E7" s="25" t="str">
        <x:v>Traditional IRA → Taxable account</x:v>
      </x:c>
      <x:c r="F7" s="25" t="str">
        <x:v>Not a Roth conversion</x:v>
      </x:c>
    </x:row>
    <x:row r="8">
      <x:c r="A8" s="25" t="str">
        <x:v>Annual QCD</x:v>
      </x:c>
      <x:c r="B8" s="88" t="n">
        <x:v>0</x:v>
      </x:c>
      <x:c r="C8" s="25" t="str">
        <x:v>$/year</x:v>
      </x:c>
      <x:c r="D8" s="25" t="str">
        <x:v>Excluded from taxable income when eligible</x:v>
      </x:c>
      <x:c r="E8" s="25" t="str">
        <x:v>Traditional IRA → Charity</x:v>
      </x:c>
      <x:c r="F8" s="25" t="str">
        <x:v>Limited by RMD and applicable law</x:v>
      </x:c>
    </x:row>
    <x:row r="9">
      <x:c r="A9" s="25" t="str">
        <x:v>Withdrawal start age</x:v>
      </x:c>
      <x:c r="B9" s="104" t="n">
        <x:v>68</x:v>
      </x:c>
      <x:c r="C9" s="25" t="str">
        <x:v>age</x:v>
      </x:c>
      <x:c r="D9" s="25" t="str">
        <x:v>Schedule</x:v>
      </x:c>
      <x:c r="E9" s="25" t="str"/>
      <x:c r="F9" s="25" t="str"/>
    </x:row>
    <x:row r="10">
      <x:c r="A10" s="25" t="str">
        <x:v>Withdrawal end age</x:v>
      </x:c>
      <x:c r="B10" s="104" t="n">
        <x:v>95</x:v>
      </x:c>
      <x:c r="C10" s="25" t="str">
        <x:v>age</x:v>
      </x:c>
      <x:c r="D10" s="25" t="str">
        <x:v>Schedule</x:v>
      </x:c>
      <x:c r="E10" s="25" t="str"/>
      <x:c r="F10" s="25" t="str"/>
    </x:row>
    <x:row r="11">
      <x:c r="A11" s="25" t="str">
        <x:v>Withdrawal priority</x:v>
      </x:c>
      <x:c r="B11" s="104" t="str">
        <x:v>savings,taxable,traditional</x:v>
      </x:c>
      <x:c r="C11" s="25" t="str">
        <x:v>sequence</x:v>
      </x:c>
      <x:c r="D11" s="25" t="str">
        <x:v>Shortfall funding</x:v>
      </x:c>
      <x:c r="E11" s="25" t="str"/>
      <x:c r="F11" s="25" t="str">
        <x:v>Savings, taxable, traditional</x:v>
      </x:c>
    </x:row>
    <x:row r="12">
      <x:c r="A12" s="25" t="str">
        <x:v>Savings balance</x:v>
      </x:c>
      <x:c r="B12" s="88" t="n">
        <x:v>100000</x:v>
      </x:c>
      <x:c r="C12" s="25" t="str">
        <x:v>$</x:v>
      </x:c>
      <x:c r="D12" s="25" t="str">
        <x:v>Liquid reserve</x:v>
      </x:c>
      <x:c r="E12" s="25" t="str">
        <x:v>Cash/savings account</x:v>
      </x:c>
      <x:c r="F12" s="25" t="str"/>
    </x:row>
    <x:row r="13">
      <x:c r="A13" s="25" t="str">
        <x:v>Minimum savings reserve</x:v>
      </x:c>
      <x:c r="B13" s="88" t="n">
        <x:v>25000</x:v>
      </x:c>
      <x:c r="C13" s="25" t="str">
        <x:v>$</x:v>
      </x:c>
      <x:c r="D13" s="25" t="str">
        <x:v>Liquidity constraint</x:v>
      </x:c>
      <x:c r="E13" s="25" t="str">
        <x:v>Protects savings floor</x:v>
      </x:c>
      <x:c r="F13" s="25" t="str"/>
    </x:row>
    <x:row r="14">
      <x:c r="A14" s="25" t="str">
        <x:v>Taxable account balance</x:v>
      </x:c>
      <x:c r="B14" s="88" t="n">
        <x:v>150000</x:v>
      </x:c>
      <x:c r="C14" s="25" t="str">
        <x:v>$</x:v>
      </x:c>
      <x:c r="D14" s="25" t="str">
        <x:v>Investment account</x:v>
      </x:c>
      <x:c r="E14" s="25" t="str">
        <x:v>Taxable brokerage</x:v>
      </x:c>
      <x:c r="F14" s="25" t="str"/>
    </x:row>
    <x:row r="15">
      <x:c r="A15" s="25" t="str">
        <x:v>Traditional IRA balance</x:v>
      </x:c>
      <x:c r="B15" s="88" t="n">
        <x:v>1600000</x:v>
      </x:c>
      <x:c r="C15" s="25" t="str">
        <x:v>$</x:v>
      </x:c>
      <x:c r="D15" s="25" t="str">
        <x:v>Tax-deferred</x:v>
      </x:c>
      <x:c r="E15" s="25" t="str">
        <x:v>Traditional IRA</x:v>
      </x:c>
      <x:c r="F15" s="25" t="str"/>
    </x:row>
    <x:row r="16">
      <x:c r="A16" s="25"/>
      <x:c r="B16" s="25"/>
      <x:c r="C16" s="25"/>
      <x:c r="D16" s="25"/>
      <x:c r="E16" s="25"/>
      <x:c r="F16" s="25"/>
    </x:row>
    <x:row r="17">
      <x:c r="A17" s="116" t="str">
        <x:v>Annual Flow Definitions</x:v>
      </x:c>
      <x:c r="B17" s="116"/>
      <x:c r="C17" s="116"/>
      <x:c r="D17" s="116"/>
      <x:c r="E17" s="116"/>
      <x:c r="F17" s="116"/>
    </x:row>
    <x:row r="18">
      <x:c r="A18" s="115" t="str">
        <x:v>Field</x:v>
      </x:c>
      <x:c r="B18" s="115" t="str">
        <x:v>Definition</x:v>
      </x:c>
      <x:c r="C18" s="25"/>
      <x:c r="D18" s="25"/>
      <x:c r="E18" s="25"/>
      <x:c r="F18" s="25"/>
    </x:row>
    <x:row r="19">
      <x:c r="A19" s="25" t="str">
        <x:v>RMD</x:v>
      </x:c>
      <x:c r="B19" s="25" t="str">
        <x:v>Required distribution before QCD allocation.</x:v>
      </x:c>
      <x:c r="C19" s="25"/>
      <x:c r="D19" s="25"/>
      <x:c r="E19" s="25"/>
      <x:c r="F19" s="25"/>
    </x:row>
    <x:row r="20">
      <x:c r="A20" s="25" t="str">
        <x:v>QCD</x:v>
      </x:c>
      <x:c r="B20" s="25" t="str">
        <x:v>Direct charitable distribution applied against the RMD when eligible.</x:v>
      </x:c>
      <x:c r="C20" s="25"/>
      <x:c r="D20" s="25"/>
      <x:c r="E20" s="25"/>
      <x:c r="F20" s="25"/>
    </x:row>
    <x:row r="21">
      <x:c r="A21" s="25" t="str">
        <x:v>IRA spending withdrawal</x:v>
      </x:c>
      <x:c r="B21" s="25" t="str">
        <x:v>Taxable IRA distribution used for living expenses; no Roth deposit.</x:v>
      </x:c>
      <x:c r="C21" s="25"/>
      <x:c r="D21" s="25"/>
      <x:c r="E21" s="25"/>
      <x:c r="F21" s="25"/>
    </x:row>
    <x:row r="22">
      <x:c r="A22" s="25" t="str">
        <x:v>IRA taxable reinvestment</x:v>
      </x:c>
      <x:c r="B22" s="25" t="str">
        <x:v>Taxable IRA distribution deposited into the taxable account.</x:v>
      </x:c>
      <x:c r="C22" s="25"/>
      <x:c r="D22" s="25"/>
      <x:c r="E22" s="25"/>
      <x:c r="F22" s="25"/>
    </x:row>
    <x:row r="23">
      <x:c r="A23" s="25" t="str">
        <x:v>Roth conversion gross</x:v>
      </x:c>
      <x:c r="B23" s="25" t="str">
        <x:v>Traditional IRA amount included in income for conversion.</x:v>
      </x:c>
      <x:c r="C23" s="25"/>
      <x:c r="D23" s="25"/>
      <x:c r="E23" s="25"/>
      <x:c r="F23" s="25"/>
    </x:row>
    <x:row r="24">
      <x:c r="A24" s="25" t="str">
        <x:v>Roth conversion net deposit</x:v>
      </x:c>
      <x:c r="B24" s="25" t="str">
        <x:v>Gross conversion less tax withheld from the conversion.</x:v>
      </x:c>
      <x:c r="C24" s="25"/>
      <x:c r="D24" s="25"/>
      <x:c r="E24" s="25"/>
      <x:c r="F24" s="25"/>
    </x:row>
    <x:row r="25">
      <x:c r="A25" s="25"/>
      <x:c r="B25" s="25"/>
      <x:c r="C25" s="25"/>
      <x:c r="D25" s="25"/>
      <x:c r="E25" s="25"/>
      <x:c r="F25" s="25"/>
    </x:row>
    <x:row r="26">
      <x:c r="A26" s="25"/>
      <x:c r="B26" s="25"/>
      <x:c r="C26" s="25"/>
      <x:c r="D26" s="25"/>
      <x:c r="E26" s="25"/>
      <x:c r="F26" s="25"/>
    </x:row>
  </x:sheetData>
  <x:mergeCells>
    <x:mergeCell ref="A1:F2"/>
    <x:mergeCell ref="A17:F17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0" hidden="0" customWidth="1"/>
    <x:col min="9" max="9" width="19" hidden="0" customWidth="1"/>
    <x:col min="10" max="10" width="25" hidden="0" customWidth="1"/>
  </x:cols>
  <x:sheetData>
    <x:row r="1">
      <x:c r="A1" s="118" t="str">
        <x:v>Roth Conversion Tax Payment Source — Version 2.1.4</x:v>
      </x:c>
      <x:c r="B1" s="118"/>
      <x:c r="C1" s="118"/>
      <x:c r="D1" s="118"/>
      <x:c r="E1" s="118"/>
      <x:c r="F1" s="118"/>
      <x:c r="G1" s="118"/>
      <x:c r="H1" s="118"/>
      <x:c r="I1" s="118"/>
      <x:c r="J1" s="118"/>
    </x:row>
    <x:row r="2">
      <x:c r="A2" s="118"/>
      <x:c r="B2" s="118"/>
      <x:c r="C2" s="118"/>
      <x:c r="D2" s="118"/>
      <x:c r="E2" s="118"/>
      <x:c r="F2" s="118"/>
      <x:c r="G2" s="118"/>
      <x:c r="H2" s="118"/>
      <x:c r="I2" s="118"/>
      <x:c r="J2" s="118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>
      <x:c r="A4" s="121" t="str">
        <x:v>Input</x:v>
      </x:c>
      <x:c r="B4" s="121" t="str">
        <x:v>Value</x:v>
      </x:c>
      <x:c r="C4" s="121" t="str">
        <x:v>Units</x:v>
      </x:c>
      <x:c r="D4" s="121" t="str">
        <x:v>Control</x:v>
      </x:c>
      <x:c r="E4" s="92"/>
      <x:c r="F4" s="92"/>
      <x:c r="G4" s="92"/>
      <x:c r="H4" s="25"/>
      <x:c r="I4" s="25"/>
      <x:c r="J4" s="25"/>
    </x:row>
    <x:row r="5">
      <x:c r="A5" s="25" t="str">
        <x:v>Preferred payment source</x:v>
      </x:c>
      <x:c r="B5" s="124" t="str">
        <x:v>savings</x:v>
      </x:c>
      <x:c r="C5" s="25" t="str"/>
      <x:c r="D5" s="25" t="str">
        <x:v>Savings, taxable, withholding, or mixed</x:v>
      </x:c>
      <x:c r="E5" s="25"/>
      <x:c r="F5" s="25"/>
      <x:c r="G5" s="25"/>
      <x:c r="H5" s="25"/>
      <x:c r="I5" s="25"/>
      <x:c r="J5" s="25"/>
    </x:row>
    <x:row r="6">
      <x:c r="A6" s="25" t="str">
        <x:v>Savings funding percentage</x:v>
      </x:c>
      <x:c r="B6" s="125" t="n">
        <x:v>1</x:v>
      </x:c>
      <x:c r="C6" s="25" t="str">
        <x:v>%</x:v>
      </x:c>
      <x:c r="D6" s="25" t="str">
        <x:v>Required only for mixed</x:v>
      </x:c>
      <x:c r="E6" s="25"/>
      <x:c r="F6" s="25"/>
      <x:c r="G6" s="25"/>
      <x:c r="H6" s="25"/>
      <x:c r="I6" s="25"/>
      <x:c r="J6" s="25"/>
    </x:row>
    <x:row r="7">
      <x:c r="A7" s="25" t="str">
        <x:v>Taxable funding percentage</x:v>
      </x:c>
      <x:c r="B7" s="125" t="n">
        <x:v>0</x:v>
      </x:c>
      <x:c r="C7" s="25" t="str">
        <x:v>%</x:v>
      </x:c>
      <x:c r="D7" s="25" t="str">
        <x:v>Required only for mixed</x:v>
      </x:c>
      <x:c r="E7" s="25"/>
      <x:c r="F7" s="25"/>
      <x:c r="G7" s="25"/>
      <x:c r="H7" s="25"/>
      <x:c r="I7" s="25"/>
      <x:c r="J7" s="25"/>
    </x:row>
    <x:row r="8">
      <x:c r="A8" s="25" t="str">
        <x:v>Withholding percentage</x:v>
      </x:c>
      <x:c r="B8" s="125" t="n">
        <x:v>0</x:v>
      </x:c>
      <x:c r="C8" s="25" t="str">
        <x:v>%</x:v>
      </x:c>
      <x:c r="D8" s="25" t="str">
        <x:v>Required only for mixed</x:v>
      </x:c>
      <x:c r="E8" s="25"/>
      <x:c r="F8" s="25"/>
      <x:c r="G8" s="25"/>
      <x:c r="H8" s="25"/>
      <x:c r="I8" s="25"/>
      <x:c r="J8" s="25"/>
    </x:row>
    <x:row r="9">
      <x:c r="A9" s="25" t="str">
        <x:v>Fallback order</x:v>
      </x:c>
      <x:c r="B9" s="126" t="str">
        <x:v>taxable,withholding</x:v>
      </x:c>
      <x:c r="C9" s="25" t="str">
        <x:v>sequence</x:v>
      </x:c>
      <x:c r="D9" s="25" t="str">
        <x:v>Applied when preferred source lacks capacity</x:v>
      </x:c>
      <x:c r="E9" s="25"/>
      <x:c r="F9" s="25"/>
      <x:c r="G9" s="25"/>
      <x:c r="H9" s="25"/>
      <x:c r="I9" s="25"/>
      <x:c r="J9" s="25"/>
    </x:row>
    <x:row r="10">
      <x:c r="A10" s="25" t="str">
        <x:v>Shortfall policy</x:v>
      </x:c>
      <x:c r="B10" s="126" t="str">
        <x:v>withhold</x:v>
      </x:c>
      <x:c r="C10" s="25" t="str"/>
      <x:c r="D10" s="25" t="str">
        <x:v>withhold, unfunded, or error</x:v>
      </x:c>
      <x:c r="E10" s="25"/>
      <x:c r="F10" s="25"/>
      <x:c r="G10" s="25"/>
      <x:c r="H10" s="25"/>
      <x:c r="I10" s="25"/>
      <x:c r="J10" s="25"/>
    </x:row>
    <x:row r="11">
      <x:c r="A11" s="25" t="str">
        <x:v>Savings balance</x:v>
      </x:c>
      <x:c r="B11" s="126" t="n">
        <x:v>100000</x:v>
      </x:c>
      <x:c r="C11" s="25" t="str">
        <x:v>$</x:v>
      </x:c>
      <x:c r="D11" s="25" t="str">
        <x:v>Available liquid savings</x:v>
      </x:c>
      <x:c r="E11" s="25"/>
      <x:c r="F11" s="25"/>
      <x:c r="G11" s="25"/>
      <x:c r="H11" s="25"/>
      <x:c r="I11" s="25"/>
      <x:c r="J11" s="25"/>
    </x:row>
    <x:row r="12">
      <x:c r="A12" s="25" t="str">
        <x:v>Minimum savings reserve</x:v>
      </x:c>
      <x:c r="B12" s="126" t="n">
        <x:v>25000</x:v>
      </x:c>
      <x:c r="C12" s="25" t="str">
        <x:v>$</x:v>
      </x:c>
      <x:c r="D12" s="25" t="str">
        <x:v>Savings cannot fall below this amount</x:v>
      </x:c>
      <x:c r="E12" s="25"/>
      <x:c r="F12" s="25"/>
      <x:c r="G12" s="25"/>
      <x:c r="H12" s="25"/>
      <x:c r="I12" s="25"/>
      <x:c r="J12" s="25"/>
    </x:row>
    <x:row r="13">
      <x:c r="A13" s="25" t="str">
        <x:v>Taxable account balance</x:v>
      </x:c>
      <x:c r="B13" s="126" t="n">
        <x:v>150000</x:v>
      </x:c>
      <x:c r="C13" s="25" t="str">
        <x:v>$</x:v>
      </x:c>
      <x:c r="D13" s="25" t="str">
        <x:v>Available taxable assets</x:v>
      </x:c>
      <x:c r="E13" s="25"/>
      <x:c r="F13" s="25"/>
      <x:c r="G13" s="25"/>
      <x:c r="H13" s="25"/>
      <x:c r="I13" s="25"/>
      <x:c r="J13" s="25"/>
    </x:row>
    <x:row r="14">
      <x:c r="A14" s="30" t="str">
        <x:v>Gross Roth conversion</x:v>
      </x:c>
      <x:c r="B14" s="127" t="n">
        <x:v>50000</x:v>
      </x:c>
      <x:c r="C14" s="30" t="str">
        <x:v>$</x:v>
      </x:c>
      <x:c r="D14" s="30" t="str">
        <x:v>Maximum withholding capacity</x:v>
      </x:c>
      <x:c r="E14" s="30"/>
      <x:c r="F14" s="30"/>
      <x:c r="G14" s="30"/>
      <x:c r="H14" s="25"/>
      <x:c r="I14" s="25"/>
      <x:c r="J14" s="25"/>
    </x:row>
    <x:row r="15">
      <x:c r="A15" s="92"/>
      <x:c r="B15" s="92"/>
      <x:c r="C15" s="92"/>
      <x:c r="D15" s="92"/>
      <x:c r="E15" s="92"/>
      <x:c r="F15" s="92"/>
      <x:c r="G15" s="92"/>
      <x:c r="H15" s="25"/>
      <x:c r="I15" s="25"/>
      <x:c r="J15" s="25"/>
    </x:row>
    <x:row r="16">
      <x:c r="A16" s="131" t="str">
        <x:v>Illustrative Funding Calculation</x:v>
      </x:c>
      <x:c r="B16" s="132"/>
      <x:c r="C16" s="132"/>
      <x:c r="D16" s="132"/>
      <x:c r="E16" s="132"/>
      <x:c r="F16" s="132"/>
      <x:c r="G16" s="132"/>
      <x:c r="H16" s="131"/>
      <x:c r="I16" s="131"/>
      <x:c r="J16" s="131"/>
    </x:row>
    <x:row r="17">
      <x:c r="A17" s="121" t="str">
        <x:v>Scenario</x:v>
      </x:c>
      <x:c r="B17" s="143" t="str">
        <x:v>Conversion Tax</x:v>
      </x:c>
      <x:c r="C17" s="143" t="str">
        <x:v>From Savings</x:v>
      </x:c>
      <x:c r="D17" s="143" t="str">
        <x:v>From Taxable</x:v>
      </x:c>
      <x:c r="E17" s="143" t="str">
        <x:v>Withheld</x:v>
      </x:c>
      <x:c r="F17" s="143" t="str">
        <x:v>Unfunded</x:v>
      </x:c>
      <x:c r="G17" s="143" t="str">
        <x:v>Fallback Used</x:v>
      </x:c>
      <x:c r="H17" s="121" t="str">
        <x:v>Funding Sequence</x:v>
      </x:c>
      <x:c r="I17" s="121" t="str">
        <x:v>Net Roth Deposit</x:v>
      </x:c>
      <x:c r="J17" s="121" t="str">
        <x:v>Result</x:v>
      </x:c>
    </x:row>
    <x:row r="18">
      <x:c r="A18" s="25" t="str">
        <x:v>Savings available</x:v>
      </x:c>
      <x:c r="B18" s="86" t="n">
        <x:v>10000</x:v>
      </x:c>
      <x:c r="C18" s="86" t="n">
        <x:v>10000</x:v>
      </x:c>
      <x:c r="D18" s="86" t="n">
        <x:v>0</x:v>
      </x:c>
      <x:c r="E18" s="86" t="n">
        <x:v>0</x:v>
      </x:c>
      <x:c r="F18" s="86" t="n">
        <x:v>0</x:v>
      </x:c>
      <x:c r="G18" s="86" t="str">
        <x:v>No</x:v>
      </x:c>
      <x:c r="H18" s="25" t="str">
        <x:v>savings</x:v>
      </x:c>
      <x:c r="I18" s="86" t="n">
        <x:v>50000</x:v>
      </x:c>
      <x:c r="J18" s="25" t="str">
        <x:v>Full Roth deposit</x:v>
      </x:c>
    </x:row>
    <x:row r="19">
      <x:c r="A19" s="25" t="str">
        <x:v>Savings reserve binds</x:v>
      </x:c>
      <x:c r="B19" s="86" t="n">
        <x:v>10000</x:v>
      </x:c>
      <x:c r="C19" s="86" t="n">
        <x:v>5000</x:v>
      </x:c>
      <x:c r="D19" s="86" t="n">
        <x:v>5000</x:v>
      </x:c>
      <x:c r="E19" s="86" t="n">
        <x:v>0</x:v>
      </x:c>
      <x:c r="F19" s="86" t="n">
        <x:v>0</x:v>
      </x:c>
      <x:c r="G19" s="86" t="str">
        <x:v>Yes</x:v>
      </x:c>
      <x:c r="H19" s="25" t="str">
        <x:v>savings,taxable</x:v>
      </x:c>
      <x:c r="I19" s="86" t="n">
        <x:v>50000</x:v>
      </x:c>
      <x:c r="J19" s="25" t="str">
        <x:v>Fallback used</x:v>
      </x:c>
    </x:row>
    <x:row r="20">
      <x:c r="A20" s="25" t="str">
        <x:v>Withholding</x:v>
      </x:c>
      <x:c r="B20" s="86" t="n">
        <x:v>10000</x:v>
      </x:c>
      <x:c r="C20" s="86" t="n">
        <x:v>0</x:v>
      </x:c>
      <x:c r="D20" s="86" t="n">
        <x:v>0</x:v>
      </x:c>
      <x:c r="E20" s="86" t="n">
        <x:v>10000</x:v>
      </x:c>
      <x:c r="F20" s="86" t="n">
        <x:v>0</x:v>
      </x:c>
      <x:c r="G20" s="25" t="str">
        <x:v>No</x:v>
      </x:c>
      <x:c r="H20" s="25" t="str">
        <x:v>withholding</x:v>
      </x:c>
      <x:c r="I20" s="86" t="n">
        <x:v>40000</x:v>
      </x:c>
      <x:c r="J20" s="25" t="str">
        <x:v>Reduced Roth deposit</x:v>
      </x:c>
    </x:row>
    <x:row r="21">
      <x:c r="A21" s="25" t="str">
        <x:v>Mixed 50/25/25</x:v>
      </x:c>
      <x:c r="B21" s="86" t="n">
        <x:v>10000</x:v>
      </x:c>
      <x:c r="C21" s="86" t="n">
        <x:v>5000</x:v>
      </x:c>
      <x:c r="D21" s="86" t="n">
        <x:v>2500</x:v>
      </x:c>
      <x:c r="E21" s="86" t="n">
        <x:v>2500</x:v>
      </x:c>
      <x:c r="F21" s="86" t="n">
        <x:v>0</x:v>
      </x:c>
      <x:c r="G21" s="25" t="str">
        <x:v>No</x:v>
      </x:c>
      <x:c r="H21" s="25" t="str">
        <x:v>savings,taxable,withholding</x:v>
      </x:c>
      <x:c r="I21" s="86" t="n">
        <x:v>47500</x:v>
      </x:c>
      <x:c r="J21" s="25" t="str">
        <x:v>Strict 100% allocation</x:v>
      </x:c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  <x:row r="23">
      <x:c r="A23" s="131" t="str">
        <x:v>Validation Rules</x:v>
      </x:c>
      <x:c r="B23" s="131"/>
      <x:c r="C23" s="131"/>
      <x:c r="D23" s="131"/>
      <x:c r="E23" s="131"/>
      <x:c r="F23" s="131"/>
      <x:c r="G23" s="131"/>
      <x:c r="H23" s="131"/>
      <x:c r="I23" s="131"/>
      <x:c r="J23" s="131"/>
    </x:row>
    <x:row r="24">
      <x:c r="A24" s="121" t="str">
        <x:v>Rule</x:v>
      </x:c>
      <x:c r="B24" s="121" t="str">
        <x:v>Explanation</x:v>
      </x:c>
      <x:c r="C24" s="25"/>
      <x:c r="D24" s="25"/>
      <x:c r="E24" s="25"/>
      <x:c r="F24" s="25"/>
      <x:c r="G24" s="25"/>
      <x:c r="H24" s="25"/>
      <x:c r="I24" s="25"/>
      <x:c r="J24" s="25"/>
    </x:row>
    <x:row r="25">
      <x:c r="A25" s="25" t="str">
        <x:v>Mixed percentages</x:v>
      </x:c>
      <x:c r="B25" s="25" t="str">
        <x:v>Savings + taxable + withholding must equal exactly 100%.</x:v>
      </x:c>
      <x:c r="C25" s="25"/>
      <x:c r="D25" s="25"/>
      <x:c r="E25" s="25"/>
      <x:c r="F25" s="25"/>
      <x:c r="G25" s="25"/>
      <x:c r="H25" s="25"/>
      <x:c r="I25" s="25"/>
      <x:c r="J25" s="25"/>
    </x:row>
    <x:row r="26">
      <x:c r="A26" s="25" t="str">
        <x:v>Savings reserve</x:v>
      </x:c>
      <x:c r="B26" s="25" t="str">
        <x:v>Savings funding cannot reduce cash below the minimum reserve.</x:v>
      </x:c>
      <x:c r="C26" s="25"/>
      <x:c r="D26" s="25"/>
      <x:c r="E26" s="25"/>
      <x:c r="F26" s="25"/>
      <x:c r="G26" s="25"/>
      <x:c r="H26" s="25"/>
      <x:c r="I26" s="25"/>
      <x:c r="J26" s="25"/>
    </x:row>
    <x:row r="27">
      <x:c r="A27" s="25" t="str">
        <x:v>Withholding cap</x:v>
      </x:c>
      <x:c r="B27" s="25" t="str">
        <x:v>Withholding cannot exceed the gross conversion.</x:v>
      </x:c>
      <x:c r="C27" s="25"/>
      <x:c r="D27" s="25"/>
      <x:c r="E27" s="25"/>
      <x:c r="F27" s="25"/>
      <x:c r="G27" s="25"/>
      <x:c r="H27" s="25"/>
      <x:c r="I27" s="25"/>
      <x:c r="J27" s="25"/>
    </x:row>
    <x:row r="28">
      <x:c r="A28" s="25" t="str">
        <x:v>Fallback order</x:v>
      </x:c>
      <x:c r="B28" s="25" t="str">
        <x:v>Fallbacks are used only when the preferred source lacks capacity.</x:v>
      </x:c>
      <x:c r="C28" s="25"/>
      <x:c r="D28" s="25"/>
      <x:c r="E28" s="25"/>
      <x:c r="F28" s="25"/>
      <x:c r="G28" s="25"/>
      <x:c r="H28" s="25"/>
      <x:c r="I28" s="25"/>
      <x:c r="J28" s="25"/>
    </x:row>
    <x:row r="29">
      <x:c r="A29" s="25" t="str">
        <x:v>Shortfall policy</x:v>
      </x:c>
      <x:c r="B29" s="25" t="str">
        <x:v>Residual tax is withheld, explicitly reported as unfunded, or raises an error.</x:v>
      </x:c>
      <x:c r="C29" s="25"/>
      <x:c r="D29" s="25"/>
      <x:c r="E29" s="25"/>
      <x:c r="F29" s="25"/>
      <x:c r="G29" s="25"/>
      <x:c r="H29" s="25"/>
      <x:c r="I29" s="25"/>
      <x:c r="J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</x:row>
  </x:sheetData>
  <x:mergeCells>
    <x:mergeCell ref="A14:G14"/>
    <x:mergeCell ref="A16:J16"/>
    <x:mergeCell ref="A23:J23"/>
    <x:mergeCell ref="A1:J2"/>
  </x:mergeCells>
  <x:conditionalFormatting sqref="G16:G1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{FC72D5A3-AE77-FBDB-440D-B47B2236323F}</x14:id>
        </x:ext>
      </x:extLst>
    </x:cfRule>
  </x:conditionalFormatting>
  <x:conditionalFormatting sqref="F18:F21">
    <x:cfRule type="expression" dxfId="7" priority="2">
      <x:formula>F18&gt;0</x:formula>
    </x:cfRule>
  </x:conditionalFormatting>
  <x:conditionalFormatting sqref="G18:G21">
    <x:cfRule type="expression" dxfId="8" priority="3">
      <x:formula>G18="Yes"</x:formula>
    </x:cfRule>
  </x:conditionalFormatting>
  <x:conditionalFormatting sqref="I18:I21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{AE6391AF-2DEF-4E24-4011-4BAD2A2BF87A}</x14:id>
        </x:ext>
      </x:extLst>
    </x:cfRule>
  </x:conditionalFormatting>
  <x:dataValidations count="2">
    <x:dataValidation type="list" sqref="B5">
      <x:formula1>"savings,taxable,withholding,mixed"</x:formula1>
    </x:dataValidation>
    <x:dataValidation type="list" sqref="B10">
      <x:formula1>"withhold,unfunded,error"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C72D5A3-AE77-FBDB-440D-B47B2236323F}">
            <x14:dataBar gradient="1">
              <x14:cfvo type="min"/>
              <x14:cfvo type="max"/>
              <x14:fillColor rgb="FFA02B93"/>
            </x14:dataBar>
          </x14:cfRule>
          <xm:sqref>G16:G19</xm:sqref>
        </x14:conditionalFormatting>
        <x14:conditionalFormatting>
          <x14:cfRule type="dataBar" priority="4" id="{AE6391AF-2DEF-4E24-4011-4BAD2A2BF87A}">
            <x14:dataBar gradient="1">
              <x14:cfvo type="min"/>
              <x14:cfvo type="max"/>
              <x14:fillColor rgb="FFA02B93"/>
            </x14:dataBar>
          </x14:cfRule>
          <xm:sqref>I18:I21</xm:sqref>
        </x14:conditionalFormatting>
      </x14:conditionalFormattings>
    </x:ext>
  </x:extLst>
</x:worksheet>
</file>

<file path=xl/worksheets/sheet2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0" hidden="0" customWidth="1"/>
  </x:cols>
  <x:sheetData>
    <x:row r="1">
      <x:c r="A1" s="165" t="str">
        <x:v>Version 3.0 Tax Strategy Optimizer</x:v>
      </x:c>
      <x:c r="B1" s="165"/>
      <x:c r="C1" s="165"/>
      <x:c r="D1" s="165"/>
      <x:c r="E1" s="165"/>
      <x:c r="F1" s="165"/>
      <x:c r="G1" s="165"/>
      <x:c r="H1" s="165"/>
      <x:c r="I1" s="165"/>
      <x:c r="J1" s="165"/>
    </x:row>
    <x:row r="2">
      <x:c r="A2" s="165"/>
      <x:c r="B2" s="165"/>
      <x:c r="C2" s="165"/>
      <x:c r="D2" s="165"/>
      <x:c r="E2" s="165"/>
      <x:c r="F2" s="165"/>
      <x:c r="G2" s="165"/>
      <x:c r="H2" s="165"/>
      <x:c r="I2" s="165"/>
      <x:c r="J2" s="16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>
      <x:c r="A4" s="166" t="str">
        <x:v>Recommended Strategy Metric</x:v>
      </x:c>
      <x:c r="B4" s="166" t="str">
        <x:v>Value</x:v>
      </x:c>
      <x:c r="C4" s="25"/>
      <x:c r="D4" s="25"/>
      <x:c r="E4" s="25"/>
      <x:c r="F4" s="25"/>
      <x:c r="G4" s="25"/>
      <x:c r="H4" s="25"/>
      <x:c r="I4" s="25"/>
      <x:c r="J4" s="25"/>
    </x:row>
    <x:row r="5">
      <x:c r="A5" s="25" t="str">
        <x:v>Social Security claim age</x:v>
      </x:c>
      <x:c r="B5" s="25" t="n">
        <x:v>65</x:v>
      </x:c>
      <x:c r="C5" s="25"/>
      <x:c r="D5" s="25"/>
      <x:c r="E5" s="25"/>
      <x:c r="F5" s="25"/>
      <x:c r="G5" s="25"/>
      <x:c r="H5" s="25"/>
      <x:c r="I5" s="25"/>
      <x:c r="J5" s="25"/>
    </x:row>
    <x:row r="6">
      <x:c r="A6" s="25" t="str">
        <x:v>Annual Roth conversion</x:v>
      </x:c>
      <x:c r="B6" s="86" t="n">
        <x:v>50000</x:v>
      </x:c>
      <x:c r="C6" s="25"/>
      <x:c r="D6" s="25"/>
      <x:c r="E6" s="25"/>
      <x:c r="F6" s="25"/>
      <x:c r="G6" s="25"/>
      <x:c r="H6" s="25"/>
      <x:c r="I6" s="25"/>
      <x:c r="J6" s="25"/>
    </x:row>
    <x:row r="7">
      <x:c r="A7" s="25" t="str">
        <x:v>IRA spending withdrawal</x:v>
      </x:c>
      <x:c r="B7" s="86" t="n">
        <x:v>0</x:v>
      </x:c>
      <x:c r="C7" s="25"/>
      <x:c r="D7" s="25"/>
      <x:c r="E7" s="25"/>
      <x:c r="F7" s="25"/>
      <x:c r="G7" s="25"/>
      <x:c r="H7" s="25"/>
      <x:c r="I7" s="25"/>
      <x:c r="J7" s="25"/>
    </x:row>
    <x:row r="8">
      <x:c r="A8" s="25" t="str">
        <x:v>QCD</x:v>
      </x:c>
      <x:c r="B8" s="86" t="n">
        <x:v>0</x:v>
      </x:c>
      <x:c r="C8" s="25"/>
      <x:c r="D8" s="25"/>
      <x:c r="E8" s="25"/>
      <x:c r="F8" s="25"/>
      <x:c r="G8" s="25"/>
      <x:c r="H8" s="25"/>
      <x:c r="I8" s="25"/>
      <x:c r="J8" s="25"/>
    </x:row>
    <x:row r="9">
      <x:c r="A9" s="25" t="str">
        <x:v>Conversion tax source</x:v>
      </x:c>
      <x:c r="B9" s="25" t="str">
        <x:v>savings</x:v>
      </x:c>
      <x:c r="C9" s="25"/>
      <x:c r="D9" s="25"/>
      <x:c r="E9" s="25"/>
      <x:c r="F9" s="25"/>
      <x:c r="G9" s="25"/>
      <x:c r="H9" s="25"/>
      <x:c r="I9" s="25"/>
      <x:c r="J9" s="25"/>
    </x:row>
    <x:row r="10">
      <x:c r="A10" s="25" t="str">
        <x:v>Ending portfolio</x:v>
      </x:c>
      <x:c r="B10" s="86" t="n">
        <x:v>6812091.97734987</x:v>
      </x:c>
      <x:c r="C10" s="25"/>
      <x:c r="D10" s="25"/>
      <x:c r="E10" s="25"/>
      <x:c r="F10" s="25"/>
      <x:c r="G10" s="25"/>
      <x:c r="H10" s="25"/>
      <x:c r="I10" s="25"/>
      <x:c r="J10" s="25"/>
    </x:row>
    <x:row r="11">
      <x:c r="A11" s="25" t="str">
        <x:v>Lifetime tax + IRMAA</x:v>
      </x:c>
      <x:c r="B11" s="86" t="n">
        <x:v>896811.8706274307</x:v>
      </x:c>
      <x:c r="C11" s="25"/>
      <x:c r="D11" s="25"/>
      <x:c r="E11" s="25"/>
      <x:c r="F11" s="25"/>
      <x:c r="G11" s="25"/>
      <x:c r="H11" s="25"/>
      <x:c r="I11" s="25"/>
      <x:c r="J11" s="25"/>
    </x:row>
    <x:row r="12">
      <x:c r="A12" s="25" t="str">
        <x:v>Lifetime federal tax</x:v>
      </x:c>
      <x:c r="B12" s="86" t="n">
        <x:v>837615.8706274307</x:v>
      </x:c>
      <x:c r="C12" s="25"/>
      <x:c r="D12" s="25"/>
      <x:c r="E12" s="25"/>
      <x:c r="F12" s="25"/>
      <x:c r="G12" s="25"/>
      <x:c r="H12" s="25"/>
      <x:c r="I12" s="25"/>
      <x:c r="J12" s="25"/>
    </x:row>
    <x:row r="13">
      <x:c r="A13" s="25" t="str">
        <x:v>Lifetime IRMAA</x:v>
      </x:c>
      <x:c r="B13" s="86" t="n">
        <x:v>59196</x:v>
      </x:c>
      <x:c r="C13" s="25"/>
      <x:c r="D13" s="25"/>
      <x:c r="E13" s="25"/>
      <x:c r="F13" s="25"/>
      <x:c r="G13" s="25"/>
      <x:c r="H13" s="25"/>
      <x:c r="I13" s="25"/>
      <x:c r="J13" s="25"/>
    </x:row>
    <x:row r="14">
      <x:c r="A14" s="25" t="str">
        <x:v>Lifetime Roth conversions</x:v>
      </x:c>
      <x:c r="B14" s="86" t="n">
        <x:v>300000</x:v>
      </x:c>
      <x:c r="C14" s="25"/>
      <x:c r="D14" s="25"/>
      <x:c r="E14" s="25"/>
      <x:c r="F14" s="25"/>
      <x:c r="G14" s="25"/>
      <x:c r="H14" s="25"/>
      <x:c r="I14" s="25"/>
      <x:c r="J14" s="25"/>
    </x:row>
    <x:row r="15">
      <x:c r="A15" s="25" t="str">
        <x:v>Integrated score</x:v>
      </x:c>
      <x:c r="B15" s="86" t="n">
        <x:v>7277698.5021924125</x:v>
      </x:c>
      <x:c r="C15" s="25"/>
      <x:c r="D15" s="25"/>
      <x:c r="E15" s="25"/>
      <x:c r="F15" s="25"/>
      <x:c r="G15" s="25"/>
      <x:c r="H15" s="25"/>
      <x:c r="I15" s="25"/>
      <x:c r="J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</x:row>
    <x:row r="17">
      <x:c r="A17" s="167" t="str">
        <x:v>Strategy Grid Controls</x:v>
      </x:c>
      <x:c r="B17" s="167"/>
      <x:c r="C17" s="167"/>
      <x:c r="D17" s="167"/>
      <x:c r="E17" s="167"/>
      <x:c r="F17" s="167"/>
      <x:c r="G17" s="167"/>
      <x:c r="H17" s="167"/>
      <x:c r="I17" s="167"/>
      <x:c r="J17" s="167"/>
    </x:row>
    <x:row r="18">
      <x:c r="A18" s="166" t="str">
        <x:v>Control</x:v>
      </x:c>
      <x:c r="B18" s="166" t="str">
        <x:v>65</x:v>
      </x:c>
      <x:c r="C18" s="166" t="str">
        <x:v>67</x:v>
      </x:c>
      <x:c r="D18" s="166" t="str">
        <x:v>70</x:v>
      </x:c>
      <x:c r="E18" s="166" t="str">
        <x:v>$0</x:v>
      </x:c>
      <x:c r="F18" s="166" t="str">
        <x:v>$25,000</x:v>
      </x:c>
      <x:c r="G18" s="166" t="str">
        <x:v>$50,000</x:v>
      </x:c>
      <x:c r="H18" s="166" t="str">
        <x:v>$75,000</x:v>
      </x:c>
      <x:c r="I18" s="166" t="str">
        <x:v>$100,000</x:v>
      </x:c>
      <x:c r="J18" s="166" t="str">
        <x:v>Notes</x:v>
      </x:c>
    </x:row>
    <x:row r="19">
      <x:c r="A19" s="25" t="str">
        <x:v>Claim ages</x:v>
      </x:c>
      <x:c r="B19" s="25" t="str">
        <x:v>Yes</x:v>
      </x:c>
      <x:c r="C19" s="25" t="str">
        <x:v>Yes</x:v>
      </x:c>
      <x:c r="D19" s="25" t="str">
        <x:v>Yes</x:v>
      </x:c>
      <x:c r="E19" s="25" t="str"/>
      <x:c r="F19" s="25" t="str"/>
      <x:c r="G19" s="25" t="str"/>
      <x:c r="H19" s="25" t="str"/>
      <x:c r="I19" s="25" t="str"/>
      <x:c r="J19" s="25" t="str">
        <x:v>Configurable</x:v>
      </x:c>
    </x:row>
    <x:row r="20">
      <x:c r="A20" s="25" t="str">
        <x:v>Roth conversions</x:v>
      </x:c>
      <x:c r="B20" s="25" t="str"/>
      <x:c r="C20" s="25" t="str"/>
      <x:c r="D20" s="25" t="str"/>
      <x:c r="E20" s="25" t="str">
        <x:v>Yes</x:v>
      </x:c>
      <x:c r="F20" s="25" t="str">
        <x:v>Yes</x:v>
      </x:c>
      <x:c r="G20" s="25" t="str">
        <x:v>Yes</x:v>
      </x:c>
      <x:c r="H20" s="25" t="str">
        <x:v>Yes</x:v>
      </x:c>
      <x:c r="I20" s="25" t="str">
        <x:v>Yes</x:v>
      </x:c>
      <x:c r="J20" s="25" t="str">
        <x:v>Annual amount</x:v>
      </x:c>
    </x:row>
    <x:row r="21">
      <x:c r="A21" s="25" t="str">
        <x:v>IRA spending</x:v>
      </x:c>
      <x:c r="B21" s="25" t="str"/>
      <x:c r="C21" s="25" t="str"/>
      <x:c r="D21" s="25" t="str"/>
      <x:c r="E21" s="25" t="str">
        <x:v>$0</x:v>
      </x:c>
      <x:c r="F21" s="25" t="str">
        <x:v>$24,000</x:v>
      </x:c>
      <x:c r="G21" s="25" t="str"/>
      <x:c r="H21" s="25" t="str"/>
      <x:c r="I21" s="25" t="str"/>
      <x:c r="J21" s="25" t="str">
        <x:v>Configurable</x:v>
      </x:c>
    </x:row>
    <x:row r="22">
      <x:c r="A22" s="25" t="str">
        <x:v>Tax sources</x:v>
      </x:c>
      <x:c r="B22" s="25" t="str">
        <x:v>Savings</x:v>
      </x:c>
      <x:c r="C22" s="25" t="str">
        <x:v>Taxable</x:v>
      </x:c>
      <x:c r="D22" s="25" t="str">
        <x:v>Withholding</x:v>
      </x:c>
      <x:c r="E22" s="25" t="str"/>
      <x:c r="F22" s="25" t="str"/>
      <x:c r="G22" s="25" t="str"/>
      <x:c r="H22" s="25" t="str"/>
      <x:c r="I22" s="25" t="str"/>
      <x:c r="J22" s="25" t="str">
        <x:v>Compare funding methods</x:v>
      </x:c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</x:row>
  </x:sheetData>
  <x:mergeCells>
    <x:mergeCell ref="A1:J2"/>
    <x:mergeCell ref="A17:J17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>
      <x:c r="A1" s="158" t="str">
        <x:v>Lifetime Cash-Flow Engine</x:v>
      </x:c>
      <x:c r="B1" s="158"/>
      <x:c r="C1" s="158"/>
      <x:c r="D1" s="158"/>
      <x:c r="E1" s="158"/>
      <x:c r="F1" s="158"/>
      <x:c r="G1" s="158"/>
      <x:c r="H1" s="158"/>
      <x:c r="I1" s="158"/>
    </x:row>
    <x:row r="2">
      <x:c r="A2" s="158"/>
      <x:c r="B2" s="158"/>
      <x:c r="C2" s="158"/>
      <x:c r="D2" s="158"/>
      <x:c r="E2" s="158"/>
      <x:c r="F2" s="158"/>
      <x:c r="G2" s="158"/>
      <x:c r="H2" s="158"/>
      <x:c r="I2" s="158"/>
    </x:row>
    <x:row r="4">
      <x:c r="A4" s="162" t="str">
        <x:v>Year</x:v>
      </x:c>
      <x:c r="B4" s="162" t="str">
        <x:v>Age</x:v>
      </x:c>
      <x:c r="C4" s="162" t="str">
        <x:v>Recurring Income</x:v>
      </x:c>
      <x:c r="D4" s="162" t="str">
        <x:v>Portfolio Distributions</x:v>
      </x:c>
      <x:c r="E4" s="162" t="str">
        <x:v>Taxes</x:v>
      </x:c>
      <x:c r="F4" s="162" t="str">
        <x:v>Healthcare</x:v>
      </x:c>
      <x:c r="G4" s="162" t="str">
        <x:v>Spending</x:v>
      </x:c>
      <x:c r="H4" s="162" t="str">
        <x:v>Net Cash Flow</x:v>
      </x:c>
      <x:c r="I4" s="162" t="str">
        <x:v>Cumulative Shortfall</x:v>
      </x:c>
    </x:row>
    <x:row r="5">
      <x:c r="A5" s="168" t="n">
        <x:v>2026</x:v>
      </x:c>
      <x:c r="B5" s="168" t="n">
        <x:v>68</x:v>
      </x:c>
      <x:c r="C5" s="48" t="n">
        <x:v>44466.12</x:v>
      </x:c>
      <x:c r="D5" s="48" t="n">
        <x:v>40533.880000000005</x:v>
      </x:c>
      <x:c r="E5" s="48" t="n">
        <x:v>7392.22544</x:v>
      </x:c>
      <x:c r="F5" s="48" t="n">
        <x:v>0</x:v>
      </x:c>
      <x:c r="G5" s="48" t="n">
        <x:v>85000</x:v>
      </x:c>
      <x:c r="H5" s="48" t="n">
        <x:v>-7392.225439999995</x:v>
      </x:c>
      <x:c r="I5" s="48" t="n">
        <x:v>7392.225439999995</x:v>
      </x:c>
    </x:row>
    <x:row r="6">
      <x:c r="A6" s="168" t="n">
        <x:v>2027</x:v>
      </x:c>
      <x:c r="B6" s="168" t="n">
        <x:v>69</x:v>
      </x:c>
      <x:c r="C6" s="48" t="n">
        <x:v>45337.938</x:v>
      </x:c>
      <x:c r="D6" s="48" t="n">
        <x:v>41787.06199999999</x:v>
      </x:c>
      <x:c r="E6" s="48" t="n">
        <x:v>7481.150876</x:v>
      </x:c>
      <x:c r="F6" s="48" t="n">
        <x:v>0</x:v>
      </x:c>
      <x:c r="G6" s="48" t="n">
        <x:v>87124.99999999999</x:v>
      </x:c>
      <x:c r="H6" s="48" t="n">
        <x:v>-7481.150875999985</x:v>
      </x:c>
      <x:c r="I6" s="48" t="n">
        <x:v>14873.37631599998</x:v>
      </x:c>
    </x:row>
    <x:row r="7">
      <x:c r="A7" s="168" t="n">
        <x:v>2028</x:v>
      </x:c>
      <x:c r="B7" s="168" t="n">
        <x:v>70</x:v>
      </x:c>
      <x:c r="C7" s="48" t="n">
        <x:v>85255.55145</x:v>
      </x:c>
      <x:c r="D7" s="48" t="n">
        <x:v>24000</x:v>
      </x:c>
      <x:c r="E7" s="48" t="n">
        <x:v>11552.7474479</x:v>
      </x:c>
      <x:c r="F7" s="48" t="n">
        <x:v>0</x:v>
      </x:c>
      <x:c r="G7" s="48" t="n">
        <x:v>89303.125</x:v>
      </x:c>
      <x:c r="H7" s="48" t="n">
        <x:v>8399.679002100005</x:v>
      </x:c>
      <x:c r="I7" s="48" t="n">
        <x:v>14873.37631599998</x:v>
      </x:c>
    </x:row>
    <x:row r="8">
      <x:c r="A8" s="168" t="n">
        <x:v>2029</x:v>
      </x:c>
      <x:c r="B8" s="168" t="n">
        <x:v>71</x:v>
      </x:c>
      <x:c r="C8" s="48" t="n">
        <x:v>87147.10523624998</x:v>
      </x:c>
      <x:c r="D8" s="48" t="n">
        <x:v>24000</x:v>
      </x:c>
      <x:c r="E8" s="48" t="n">
        <x:v>11867.090879178746</x:v>
      </x:c>
      <x:c r="F8" s="48" t="n">
        <x:v>0</x:v>
      </x:c>
      <x:c r="G8" s="48" t="n">
        <x:v>91535.70312499997</x:v>
      </x:c>
      <x:c r="H8" s="48" t="n">
        <x:v>7744.3112320712535</x:v>
      </x:c>
      <x:c r="I8" s="48" t="n">
        <x:v>14873.37631599998</x:v>
      </x:c>
    </x:row>
    <x:row r="9">
      <x:c r="A9" s="168" t="n">
        <x:v>2030</x:v>
      </x:c>
      <x:c r="B9" s="168" t="n">
        <x:v>72</x:v>
      </x:c>
      <x:c r="C9" s="48" t="n">
        <x:v>89085.94786715622</x:v>
      </x:c>
      <x:c r="D9" s="48" t="n">
        <x:v>24000</x:v>
      </x:c>
      <x:c r="E9" s="48" t="n">
        <x:v>12260.332985297202</x:v>
      </x:c>
      <x:c r="F9" s="48" t="n">
        <x:v>0</x:v>
      </x:c>
      <x:c r="G9" s="48" t="n">
        <x:v>93824.09570312496</x:v>
      </x:c>
      <x:c r="H9" s="48" t="n">
        <x:v>7001.519178734059</x:v>
      </x:c>
      <x:c r="I9" s="48" t="n">
        <x:v>14873.37631599998</x:v>
      </x:c>
    </x:row>
    <x:row r="10">
      <x:c r="A10" s="168" t="n">
        <x:v>2031</x:v>
      </x:c>
      <x:c r="B10" s="168" t="n">
        <x:v>73</x:v>
      </x:c>
      <x:c r="C10" s="48" t="n">
        <x:v>91073.26156383511</x:v>
      </x:c>
      <x:c r="D10" s="48" t="n">
        <x:v>91499.59450219624</x:v>
      </x:c>
      <x:c r="E10" s="48" t="n">
        <x:v>31530.85605127078</x:v>
      </x:c>
      <x:c r="F10" s="48" t="n">
        <x:v>0</x:v>
      </x:c>
      <x:c r="G10" s="48" t="n">
        <x:v>96169.69809570308</x:v>
      </x:c>
      <x:c r="H10" s="48" t="n">
        <x:v>54872.301919057485</x:v>
      </x:c>
      <x:c r="I10" s="48" t="n">
        <x:v>14873.37631599998</x:v>
      </x:c>
    </x:row>
    <x:row r="11">
      <x:c r="A11" s="168" t="n">
        <x:v>2032</x:v>
      </x:c>
      <x:c r="B11" s="168" t="n">
        <x:v>74</x:v>
      </x:c>
      <x:c r="C11" s="48" t="n">
        <x:v>93110.258102931</x:v>
      </x:c>
      <x:c r="D11" s="48" t="n">
        <x:v>93119.4680781343</x:v>
      </x:c>
      <x:c r="E11" s="48" t="n">
        <x:v>17814.22145553016</x:v>
      </x:c>
      <x:c r="F11" s="48" t="n">
        <x:v>0</x:v>
      </x:c>
      <x:c r="G11" s="48" t="n">
        <x:v>98573.94054809565</x:v>
      </x:c>
      <x:c r="H11" s="48" t="n">
        <x:v>69841.56417743952</x:v>
      </x:c>
      <x:c r="I11" s="48" t="n">
        <x:v>14873.37631599998</x:v>
      </x:c>
    </x:row>
    <x:row r="12">
      <x:c r="A12" s="168" t="n">
        <x:v>2033</x:v>
      </x:c>
      <x:c r="B12" s="168" t="n">
        <x:v>75</x:v>
      </x:c>
      <x:c r="C12" s="48" t="n">
        <x:v>95198.17955550426</x:v>
      </x:c>
      <x:c r="D12" s="48" t="n">
        <x:v>96613.28681578417</x:v>
      </x:c>
      <x:c r="E12" s="48" t="n">
        <x:v>19112.392661514026</x:v>
      </x:c>
      <x:c r="F12" s="48" t="n">
        <x:v>0</x:v>
      </x:c>
      <x:c r="G12" s="48" t="n">
        <x:v>101038.28906179804</x:v>
      </x:c>
      <x:c r="H12" s="48" t="n">
        <x:v>71660.78464797637</x:v>
      </x:c>
      <x:c r="I12" s="48" t="n">
        <x:v>14873.37631599998</x:v>
      </x:c>
    </x:row>
    <x:row r="13">
      <x:c r="A13" s="168" t="n">
        <x:v>2034</x:v>
      </x:c>
      <x:c r="B13" s="168" t="n">
        <x:v>76</x:v>
      </x:c>
      <x:c r="C13" s="48" t="n">
        <x:v>97338.29904439185</x:v>
      </x:c>
      <x:c r="D13" s="48" t="n">
        <x:v>100284.84045030305</x:v>
      </x:c>
      <x:c r="E13" s="48" t="n">
        <x:v>20465.290102812105</x:v>
      </x:c>
      <x:c r="F13" s="48" t="n">
        <x:v>0</x:v>
      </x:c>
      <x:c r="G13" s="48" t="n">
        <x:v>103564.24628834297</x:v>
      </x:c>
      <x:c r="H13" s="48" t="n">
        <x:v>73593.6031035398</x:v>
      </x:c>
      <x:c r="I13" s="48" t="n">
        <x:v>14873.37631599998</x:v>
      </x:c>
    </x:row>
    <x:row r="14">
      <x:c r="A14" s="168" t="n">
        <x:v>2035</x:v>
      </x:c>
      <x:c r="B14" s="168" t="n">
        <x:v>77</x:v>
      </x:c>
      <x:c r="C14" s="48" t="n">
        <x:v>99531.92152050165</x:v>
      </x:c>
      <x:c r="D14" s="48" t="n">
        <x:v>103790.5017335114</x:v>
      </x:c>
      <x:c r="E14" s="48" t="n">
        <x:v>21788.51733439108</x:v>
      </x:c>
      <x:c r="F14" s="48" t="n">
        <x:v>0</x:v>
      </x:c>
      <x:c r="G14" s="48" t="n">
        <x:v>106153.35244555154</x:v>
      </x:c>
      <x:c r="H14" s="48" t="n">
        <x:v>75380.55347407045</x:v>
      </x:c>
      <x:c r="I14" s="48" t="n">
        <x:v>14873.37631599998</x:v>
      </x:c>
    </x:row>
    <x:row r="15">
      <x:c r="A15" s="168" t="n">
        <x:v>2036</x:v>
      </x:c>
      <x:c r="B15" s="168" t="n">
        <x:v>78</x:v>
      </x:c>
      <x:c r="C15" s="48" t="n">
        <x:v>101780.38455851417</x:v>
      </x:c>
      <x:c r="D15" s="48" t="n">
        <x:v>107820.49214188058</x:v>
      </x:c>
      <x:c r="E15" s="48" t="n">
        <x:v>23252.425069694582</x:v>
      </x:c>
      <x:c r="F15" s="48" t="n">
        <x:v>0</x:v>
      </x:c>
      <x:c r="G15" s="48" t="n">
        <x:v>108807.18625669031</x:v>
      </x:c>
      <x:c r="H15" s="48" t="n">
        <x:v>77541.26537400983</x:v>
      </x:c>
      <x:c r="I15" s="48" t="n">
        <x:v>14873.37631599998</x:v>
      </x:c>
    </x:row>
    <x:row r="16">
      <x:c r="A16" s="168" t="n">
        <x:v>2037</x:v>
      </x:c>
      <x:c r="B16" s="168" t="n">
        <x:v>79</x:v>
      </x:c>
      <x:c r="C16" s="48" t="n">
        <x:v>104085.05917247703</x:v>
      </x:c>
      <x:c r="D16" s="48" t="n">
        <x:v>112045.80371696949</x:v>
      </x:c>
      <x:c r="E16" s="48" t="n">
        <x:v>24776.23289294487</x:v>
      </x:c>
      <x:c r="F16" s="48" t="n">
        <x:v>0</x:v>
      </x:c>
      <x:c r="G16" s="48" t="n">
        <x:v>111527.36591310757</x:v>
      </x:c>
      <x:c r="H16" s="48" t="n">
        <x:v>79827.2640833941</x:v>
      </x:c>
      <x:c r="I16" s="48" t="n">
        <x:v>14873.37631599998</x:v>
      </x:c>
    </x:row>
    <x:row r="17">
      <x:c r="A17" s="168" t="n">
        <x:v>2038</x:v>
      </x:c>
      <x:c r="B17" s="168" t="n">
        <x:v>80</x:v>
      </x:c>
      <x:c r="C17" s="48" t="n">
        <x:v>106447.35065178895</x:v>
      </x:c>
      <x:c r="D17" s="48" t="n">
        <x:v>116471.34161093381</x:v>
      </x:c>
      <x:c r="E17" s="48" t="n">
        <x:v>26361.443757444773</x:v>
      </x:c>
      <x:c r="F17" s="48" t="n">
        <x:v>0</x:v>
      </x:c>
      <x:c r="G17" s="48" t="n">
        <x:v>114315.55006093525</x:v>
      </x:c>
      <x:c r="H17" s="48" t="n">
        <x:v>82241.69844434275</x:v>
      </x:c>
      <x:c r="I17" s="48" t="n">
        <x:v>14873.37631599998</x:v>
      </x:c>
    </x:row>
    <x:row r="18">
      <x:c r="A18" s="168" t="n">
        <x:v>2039</x:v>
      </x:c>
      <x:c r="B18" s="168" t="n">
        <x:v>81</x:v>
      </x:c>
      <x:c r="C18" s="48" t="n">
        <x:v>108868.69941808365</x:v>
      </x:c>
      <x:c r="D18" s="48" t="n">
        <x:v>120600.57948737241</x:v>
      </x:c>
      <x:c r="E18" s="48" t="n">
        <x:v>27886.015255812003</x:v>
      </x:c>
      <x:c r="F18" s="48" t="n">
        <x:v>0</x:v>
      </x:c>
      <x:c r="G18" s="48" t="n">
        <x:v>117173.43881245861</x:v>
      </x:c>
      <x:c r="H18" s="48" t="n">
        <x:v>84409.82483718546</x:v>
      </x:c>
      <x:c r="I18" s="48" t="n">
        <x:v>14873.37631599998</x:v>
      </x:c>
    </x:row>
    <x:row r="19">
      <x:c r="A19" s="168" t="n">
        <x:v>2040</x:v>
      </x:c>
      <x:c r="B19" s="168" t="n">
        <x:v>82</x:v>
      </x:c>
      <x:c r="C19" s="48" t="n">
        <x:v>111350.58190353576</x:v>
      </x:c>
      <x:c r="D19" s="48" t="n">
        <x:v>125415.79507823718</x:v>
      </x:c>
      <x:c r="E19" s="48" t="n">
        <x:v>31814.689845154175</x:v>
      </x:c>
      <x:c r="F19" s="48" t="n">
        <x:v>0</x:v>
      </x:c>
      <x:c r="G19" s="48" t="n">
        <x:v>120102.77478277008</x:v>
      </x:c>
      <x:c r="H19" s="48" t="n">
        <x:v>84848.91235384869</x:v>
      </x:c>
      <x:c r="I19" s="48" t="n">
        <x:v>14873.37631599998</x:v>
      </x:c>
    </x:row>
  </x:sheetData>
  <x:mergeCells>
    <x:mergeCell ref="A1:I2"/>
  </x:mergeCells>
  <x:conditionalFormatting sqref="H5:H19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65" t="str">
        <x:v>Advanced Monte Carlo Risk Analysis</x:v>
      </x:c>
      <x:c r="B1" s="165"/>
      <x:c r="C1" s="165"/>
      <x:c r="D1" s="165"/>
      <x:c r="E1" s="165"/>
      <x:c r="F1" s="165"/>
    </x:row>
    <x:row r="2">
      <x:c r="A2" s="165"/>
      <x:c r="B2" s="165"/>
      <x:c r="C2" s="165"/>
      <x:c r="D2" s="165"/>
      <x:c r="E2" s="165"/>
      <x:c r="F2" s="165"/>
    </x:row>
    <x:row r="3">
      <x:c r="A3" s="25"/>
      <x:c r="B3" s="25"/>
      <x:c r="C3" s="25"/>
      <x:c r="D3" s="25"/>
      <x:c r="E3" s="25"/>
      <x:c r="F3" s="25"/>
    </x:row>
    <x:row r="4">
      <x:c r="A4" s="166" t="str">
        <x:v>Metric</x:v>
      </x:c>
      <x:c r="B4" s="166" t="str">
        <x:v>Result</x:v>
      </x:c>
      <x:c r="C4" s="25"/>
      <x:c r="D4" s="25"/>
      <x:c r="E4" s="25"/>
      <x:c r="F4" s="25"/>
    </x:row>
    <x:row r="5">
      <x:c r="A5" s="25" t="str">
        <x:v>Trials</x:v>
      </x:c>
      <x:c r="B5" s="25" t="n">
        <x:v>100</x:v>
      </x:c>
      <x:c r="C5" s="25"/>
      <x:c r="D5" s="25"/>
      <x:c r="E5" s="25"/>
      <x:c r="F5" s="25"/>
    </x:row>
    <x:row r="6">
      <x:c r="A6" s="25" t="str">
        <x:v>Success probability</x:v>
      </x:c>
      <x:c r="B6" s="89" t="n">
        <x:v>1</x:v>
      </x:c>
      <x:c r="C6" s="25"/>
      <x:c r="D6" s="25"/>
      <x:c r="E6" s="25"/>
      <x:c r="F6" s="25"/>
    </x:row>
    <x:row r="7">
      <x:c r="A7" s="25" t="str">
        <x:v>Probability of shortfall</x:v>
      </x:c>
      <x:c r="B7" s="89" t="n">
        <x:v>0</x:v>
      </x:c>
      <x:c r="C7" s="25"/>
      <x:c r="D7" s="25"/>
      <x:c r="E7" s="25"/>
      <x:c r="F7" s="25"/>
    </x:row>
    <x:row r="8">
      <x:c r="A8" s="25" t="str">
        <x:v>Probability of legacy goal</x:v>
      </x:c>
      <x:c r="B8" s="89" t="n">
        <x:v>1</x:v>
      </x:c>
      <x:c r="C8" s="25"/>
      <x:c r="D8" s="25"/>
      <x:c r="E8" s="25"/>
      <x:c r="F8" s="25"/>
    </x:row>
    <x:row r="9">
      <x:c r="A9" s="25" t="str">
        <x:v>10th percentile wealth</x:v>
      </x:c>
      <x:c r="B9" s="86" t="n">
        <x:v>2824867.728625675</x:v>
      </x:c>
      <x:c r="C9" s="25"/>
      <x:c r="D9" s="25"/>
      <x:c r="E9" s="25"/>
      <x:c r="F9" s="25"/>
    </x:row>
    <x:row r="10">
      <x:c r="A10" s="25" t="str">
        <x:v>Median ending wealth</x:v>
      </x:c>
      <x:c r="B10" s="86" t="n">
        <x:v>4723131.8068657</x:v>
      </x:c>
      <x:c r="C10" s="25"/>
      <x:c r="D10" s="25"/>
      <x:c r="E10" s="25"/>
      <x:c r="F10" s="25"/>
    </x:row>
    <x:row r="11">
      <x:c r="A11" s="25" t="str">
        <x:v>90th percentile wealth</x:v>
      </x:c>
      <x:c r="B11" s="86" t="n">
        <x:v>8412849.174161535</x:v>
      </x:c>
      <x:c r="C11" s="25"/>
      <x:c r="D11" s="25"/>
      <x:c r="E11" s="25"/>
      <x:c r="F11" s="25"/>
    </x:row>
    <x:row r="12">
      <x:c r="A12" s="25" t="str">
        <x:v>Median lifetime tax</x:v>
      </x:c>
      <x:c r="B12" s="86" t="n">
        <x:v>625011.7650372253</x:v>
      </x:c>
      <x:c r="C12" s="25"/>
      <x:c r="D12" s="25"/>
      <x:c r="E12" s="25"/>
      <x:c r="F12" s="25"/>
    </x:row>
    <x:row r="13">
      <x:c r="A13" s="25"/>
      <x:c r="B13" s="25"/>
      <x:c r="C13" s="25"/>
      <x:c r="D13" s="25"/>
      <x:c r="E13" s="25"/>
      <x:c r="F13" s="25"/>
    </x:row>
    <x:row r="14">
      <x:c r="A14" s="167" t="str">
        <x:v>Risk Factors Modeled</x:v>
      </x:c>
      <x:c r="B14" s="167"/>
      <x:c r="C14" s="167"/>
      <x:c r="D14" s="167"/>
      <x:c r="E14" s="167"/>
      <x:c r="F14" s="167"/>
    </x:row>
    <x:row r="15">
      <x:c r="A15" s="166" t="str">
        <x:v>Market returns</x:v>
      </x:c>
      <x:c r="B15" s="166" t="str">
        <x:v>Inflation</x:v>
      </x:c>
      <x:c r="C15" s="166" t="str">
        <x:v>Longevity</x:v>
      </x:c>
      <x:c r="D15" s="166" t="str">
        <x:v>Spending shocks</x:v>
      </x:c>
      <x:c r="E15" s="166" t="str">
        <x:v>Legacy goal</x:v>
      </x:c>
      <x:c r="F15" s="166" t="str">
        <x:v>Sequence risk</x:v>
      </x:c>
    </x:row>
    <x:row r="16">
      <x:c r="A16" s="25" t="str">
        <x:v>Randomized</x:v>
      </x:c>
      <x:c r="B16" s="25" t="str">
        <x:v>Randomized</x:v>
      </x:c>
      <x:c r="C16" s="25" t="str">
        <x:v>Randomized</x:v>
      </x:c>
      <x:c r="D16" s="25" t="str">
        <x:v>Probability-based</x:v>
      </x:c>
      <x:c r="E16" s="25" t="str">
        <x:v>Threshold tested</x:v>
      </x:c>
      <x:c r="F16" s="25" t="str">
        <x:v>Captured annually</x:v>
      </x:c>
    </x:row>
    <x:row r="17">
      <x:c r="A17" s="25" t="str"/>
      <x:c r="B17" s="25" t="str"/>
      <x:c r="C17" s="25" t="str"/>
      <x:c r="D17" s="25" t="str"/>
      <x:c r="E17" s="25" t="str"/>
      <x:c r="F17" s="25" t="str"/>
    </x:row>
    <x:row r="18">
      <x:c r="A18" s="25" t="str">
        <x:v>Use Monte Carlo as risk analysis, not as a guarantee.</x:v>
      </x:c>
      <x:c r="B18" s="25" t="str"/>
      <x:c r="C18" s="25" t="str"/>
      <x:c r="D18" s="25" t="str"/>
      <x:c r="E18" s="25" t="str"/>
      <x:c r="F18" s="25" t="str"/>
    </x:row>
    <x:row r="19">
      <x:c r="A19" s="25"/>
      <x:c r="B19" s="25"/>
      <x:c r="C19" s="25"/>
      <x:c r="D19" s="25"/>
      <x:c r="E19" s="25"/>
      <x:c r="F19" s="25"/>
    </x:row>
    <x:row r="20">
      <x:c r="A20" s="25"/>
      <x:c r="B20" s="25"/>
      <x:c r="C20" s="25"/>
      <x:c r="D20" s="25"/>
      <x:c r="E20" s="25"/>
      <x:c r="F20" s="25"/>
    </x:row>
  </x:sheetData>
  <x:mergeCells>
    <x:mergeCell ref="A1:F2"/>
    <x:mergeCell ref="A14:F14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6" hidden="0" customWidth="1"/>
  </x:cols>
  <x:sheetData>
    <x:row r="1">
      <x:c r="A1" s="158" t="str">
        <x:v>Deterministic Sensitivity Analysis</x:v>
      </x:c>
      <x:c r="B1" s="158"/>
      <x:c r="C1" s="158"/>
      <x:c r="D1" s="158"/>
      <x:c r="E1" s="158"/>
      <x:c r="F1" s="158"/>
      <x:c r="G1" s="158"/>
      <x:c r="H1" s="158"/>
    </x:row>
    <x:row r="2">
      <x:c r="A2" s="158"/>
      <x:c r="B2" s="158"/>
      <x:c r="C2" s="158"/>
      <x:c r="D2" s="158"/>
      <x:c r="E2" s="158"/>
      <x:c r="F2" s="158"/>
      <x:c r="G2" s="158"/>
      <x:c r="H2" s="158"/>
    </x:row>
    <x:row r="4">
      <x:c r="A4" s="162" t="str">
        <x:v>Return</x:v>
      </x:c>
      <x:c r="B4" s="162" t="str">
        <x:v>Inflation</x:v>
      </x:c>
      <x:c r="C4" s="162" t="str">
        <x:v>Annual Spending</x:v>
      </x:c>
      <x:c r="D4" s="162" t="str">
        <x:v>Longevity Age</x:v>
      </x:c>
      <x:c r="E4" s="162" t="str">
        <x:v>Ending Portfolio</x:v>
      </x:c>
      <x:c r="F4" s="162" t="str">
        <x:v>Lifetime Tax</x:v>
      </x:c>
      <x:c r="G4" s="162" t="str">
        <x:v>Minimum Portfolio</x:v>
      </x:c>
      <x:c r="H4" s="162" t="str">
        <x:v>Shortfall Years</x:v>
      </x:c>
    </x:row>
    <x:row r="5">
      <x:c r="A5" s="50" t="n">
        <x:v>0.08</x:v>
      </x:c>
      <x:c r="B5" s="50" t="n">
        <x:v>0.02</x:v>
      </x:c>
      <x:c r="C5" s="48" t="n">
        <x:v>76500</x:v>
      </x:c>
      <x:c r="D5" s="48" t="n">
        <x:v>95</x:v>
      </x:c>
      <x:c r="E5" s="48" t="n">
        <x:v>8283515.564250609</x:v>
      </x:c>
      <x:c r="F5" s="48" t="n">
        <x:v>1039070.3926722462</x:v>
      </x:c>
      <x:c r="G5" s="48" t="n">
        <x:v>1945845.3724512</x:v>
      </x:c>
      <x:c r="H5" s="168" t="n">
        <x:v>0</x:v>
      </x:c>
    </x:row>
    <x:row r="6">
      <x:c r="A6" s="50" t="n">
        <x:v>0.08</x:v>
      </x:c>
      <x:c r="B6" s="50" t="n">
        <x:v>0.02</x:v>
      </x:c>
      <x:c r="C6" s="48" t="n">
        <x:v>85000</x:v>
      </x:c>
      <x:c r="D6" s="48" t="n">
        <x:v>95</x:v>
      </x:c>
      <x:c r="E6" s="48" t="n">
        <x:v>7869151.803181212</x:v>
      </x:c>
      <x:c r="F6" s="48" t="n">
        <x:v>1039070.3926722462</x:v>
      </x:c>
      <x:c r="G6" s="48" t="n">
        <x:v>1937175.3724512</x:v>
      </x:c>
      <x:c r="H6" s="168" t="n">
        <x:v>0</x:v>
      </x:c>
    </x:row>
    <x:row r="7">
      <x:c r="A7" s="50" t="n">
        <x:v>0.08</x:v>
      </x:c>
      <x:c r="B7" s="50" t="n">
        <x:v>0.03</x:v>
      </x:c>
      <x:c r="C7" s="48" t="n">
        <x:v>76500</x:v>
      </x:c>
      <x:c r="D7" s="48" t="n">
        <x:v>95</x:v>
      </x:c>
      <x:c r="E7" s="48" t="n">
        <x:v>7745301.640872464</x:v>
      </x:c>
      <x:c r="F7" s="48" t="n">
        <x:v>1039070.3926722462</x:v>
      </x:c>
      <x:c r="G7" s="48" t="n">
        <x:v>1945845.3724512</x:v>
      </x:c>
      <x:c r="H7" s="168" t="n">
        <x:v>0</x:v>
      </x:c>
    </x:row>
    <x:row r="8">
      <x:c r="A8" s="50" t="n">
        <x:v>0.08</x:v>
      </x:c>
      <x:c r="B8" s="50" t="n">
        <x:v>0.02</x:v>
      </x:c>
      <x:c r="C8" s="48" t="n">
        <x:v>93500.00000000001</x:v>
      </x:c>
      <x:c r="D8" s="48" t="n">
        <x:v>95</x:v>
      </x:c>
      <x:c r="E8" s="48" t="n">
        <x:v>7454788.042111818</x:v>
      </x:c>
      <x:c r="F8" s="48" t="n">
        <x:v>1039070.3926722462</x:v>
      </x:c>
      <x:c r="G8" s="48" t="n">
        <x:v>1928505.3724512</x:v>
      </x:c>
      <x:c r="H8" s="168" t="n">
        <x:v>0</x:v>
      </x:c>
    </x:row>
    <x:row r="9">
      <x:c r="A9" s="50" t="n">
        <x:v>0.08</x:v>
      </x:c>
      <x:c r="B9" s="50" t="n">
        <x:v>0.03</x:v>
      </x:c>
      <x:c r="C9" s="48" t="n">
        <x:v>85000</x:v>
      </x:c>
      <x:c r="D9" s="48" t="n">
        <x:v>95</x:v>
      </x:c>
      <x:c r="E9" s="48" t="n">
        <x:v>7271136.332761055</x:v>
      </x:c>
      <x:c r="F9" s="48" t="n">
        <x:v>1039070.3926722462</x:v>
      </x:c>
      <x:c r="G9" s="48" t="n">
        <x:v>1937175.3724512</x:v>
      </x:c>
      <x:c r="H9" s="168" t="n">
        <x:v>0</x:v>
      </x:c>
    </x:row>
    <x:row r="10">
      <x:c r="A10" s="50" t="n">
        <x:v>0.08</x:v>
      </x:c>
      <x:c r="B10" s="50" t="n">
        <x:v>0.03</x:v>
      </x:c>
      <x:c r="C10" s="48" t="n">
        <x:v>93500.00000000001</x:v>
      </x:c>
      <x:c r="D10" s="48" t="n">
        <x:v>95</x:v>
      </x:c>
      <x:c r="E10" s="48" t="n">
        <x:v>6782981.684683662</x:v>
      </x:c>
      <x:c r="F10" s="48" t="n">
        <x:v>1039070.3926722462</x:v>
      </x:c>
      <x:c r="G10" s="48" t="n">
        <x:v>1928505.3724512</x:v>
      </x:c>
      <x:c r="H10" s="168" t="n">
        <x:v>0</x:v>
      </x:c>
    </x:row>
    <x:row r="11">
      <x:c r="A11" s="50" t="n">
        <x:v>0.08</x:v>
      </x:c>
      <x:c r="B11" s="50" t="n">
        <x:v>0.02</x:v>
      </x:c>
      <x:c r="C11" s="48" t="n">
        <x:v>76500</x:v>
      </x:c>
      <x:c r="D11" s="48" t="n">
        <x:v>90</x:v>
      </x:c>
      <x:c r="E11" s="48" t="n">
        <x:v>6683965.977370525</x:v>
      </x:c>
      <x:c r="F11" s="48" t="n">
        <x:v>708174.4370270869</x:v>
      </x:c>
      <x:c r="G11" s="48" t="n">
        <x:v>1945845.3724512</x:v>
      </x:c>
      <x:c r="H11" s="168" t="n">
        <x:v>0</x:v>
      </x:c>
    </x:row>
    <x:row r="12">
      <x:c r="A12" s="50" t="n">
        <x:v>0.08</x:v>
      </x:c>
      <x:c r="B12" s="50" t="n">
        <x:v>0.02</x:v>
      </x:c>
      <x:c r="C12" s="48" t="n">
        <x:v>85000</x:v>
      </x:c>
      <x:c r="D12" s="48" t="n">
        <x:v>90</x:v>
      </x:c>
      <x:c r="E12" s="48" t="n">
        <x:v>6375682.171221105</x:v>
      </x:c>
      <x:c r="F12" s="48" t="n">
        <x:v>708174.4370270869</x:v>
      </x:c>
      <x:c r="G12" s="48" t="n">
        <x:v>1937175.3724512</x:v>
      </x:c>
      <x:c r="H12" s="168" t="n">
        <x:v>0</x:v>
      </x:c>
    </x:row>
    <x:row r="13">
      <x:c r="A13" s="50" t="n">
        <x:v>0.08</x:v>
      </x:c>
      <x:c r="B13" s="50" t="n">
        <x:v>0.03</x:v>
      </x:c>
      <x:c r="C13" s="48" t="n">
        <x:v>76500</x:v>
      </x:c>
      <x:c r="D13" s="48" t="n">
        <x:v>90</x:v>
      </x:c>
      <x:c r="E13" s="48" t="n">
        <x:v>6363169.644879866</x:v>
      </x:c>
      <x:c r="F13" s="48" t="n">
        <x:v>708174.4370270869</x:v>
      </x:c>
      <x:c r="G13" s="48" t="n">
        <x:v>1945845.3724512</x:v>
      </x:c>
      <x:c r="H13" s="168" t="n">
        <x:v>0</x:v>
      </x:c>
    </x:row>
    <x:row r="14">
      <x:c r="A14" s="50" t="n">
        <x:v>0.08</x:v>
      </x:c>
      <x:c r="B14" s="50" t="n">
        <x:v>0.02</x:v>
      </x:c>
      <x:c r="C14" s="48" t="n">
        <x:v>93500.00000000001</x:v>
      </x:c>
      <x:c r="D14" s="48" t="n">
        <x:v>90</x:v>
      </x:c>
      <x:c r="E14" s="48" t="n">
        <x:v>6067398.365071686</x:v>
      </x:c>
      <x:c r="F14" s="48" t="n">
        <x:v>708174.4370270869</x:v>
      </x:c>
      <x:c r="G14" s="48" t="n">
        <x:v>1928505.3724512</x:v>
      </x:c>
      <x:c r="H14" s="168" t="n">
        <x:v>0</x:v>
      </x:c>
    </x:row>
  </x:sheetData>
  <x:mergeCells>
    <x:mergeCell ref="A1:H2"/>
  </x:mergeCells>
  <x:conditionalFormatting sqref="E5:E1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{83530E2A-807A-257D-CA20-FEE4553D6438}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3530E2A-807A-257D-CA20-FEE4553D6438}">
            <x14:dataBar gradient="1">
              <x14:cfvo type="min"/>
              <x14:cfvo type="max"/>
              <x14:fillColor rgb="FFA02B93"/>
            </x14:dataBar>
          </x14:cfRule>
          <xm:sqref>E5:E14</xm:sqref>
        </x14:conditionalFormatting>
      </x14:conditionalFormattings>
    </x:ext>
  </x:extLst>
</x:worksheet>
</file>

<file path=xl/worksheets/sheet2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34" hidden="0" customWidth="1"/>
    <x:col min="5" max="5" width="18" hidden="0" customWidth="1"/>
    <x:col min="6" max="6" width="60" hidden="0" customWidth="1"/>
  </x:cols>
  <x:sheetData>
    <x:row r="1">
      <x:c r="A1" s="165" t="str">
        <x:v>Planning Opportunity Dashboard</x:v>
      </x:c>
      <x:c r="B1" s="165"/>
      <x:c r="C1" s="165"/>
      <x:c r="D1" s="165"/>
      <x:c r="E1" s="165"/>
      <x:c r="F1" s="165"/>
    </x:row>
    <x:row r="2">
      <x:c r="A2" s="165"/>
      <x:c r="B2" s="165"/>
      <x:c r="C2" s="165"/>
      <x:c r="D2" s="165"/>
      <x:c r="E2" s="165"/>
      <x:c r="F2" s="165"/>
    </x:row>
    <x:row r="3">
      <x:c r="A3" s="25"/>
      <x:c r="B3" s="25"/>
      <x:c r="C3" s="25"/>
      <x:c r="D3" s="25"/>
      <x:c r="E3" s="25"/>
      <x:c r="F3" s="25"/>
    </x:row>
    <x:row r="4">
      <x:c r="A4" s="166" t="str">
        <x:v>Category</x:v>
      </x:c>
      <x:c r="B4" s="166" t="str">
        <x:v>Priority</x:v>
      </x:c>
      <x:c r="C4" s="166" t="str">
        <x:v>Year</x:v>
      </x:c>
      <x:c r="D4" s="166" t="str">
        <x:v>Opportunity</x:v>
      </x:c>
      <x:c r="E4" s="166" t="str">
        <x:v>Estimated Value</x:v>
      </x:c>
      <x:c r="F4" s="166" t="str">
        <x:v>Explanation</x:v>
      </x:c>
    </x:row>
    <x:row r="5">
      <x:c r="A5" s="25" t="str">
        <x:v>Charitable</x:v>
      </x:c>
      <x:c r="B5" s="25" t="str">
        <x:v>Medium</x:v>
      </x:c>
      <x:c r="C5" s="25" t="n">
        <x:v>2031</x:v>
      </x:c>
      <x:c r="D5" s="25" t="str">
        <x:v>Evaluate QCD use</x:v>
      </x:c>
      <x:c r="E5" s="86" t="n">
        <x:v>10000</x:v>
      </x:c>
      <x:c r="F5" s="25" t="str">
        <x:v>A QCD may satisfy charitable goals while reducing taxable RMD income.</x:v>
      </x:c>
    </x:row>
    <x:row r="6">
      <x:c r="A6" s="25" t="str">
        <x:v>Charitable</x:v>
      </x:c>
      <x:c r="B6" s="25" t="str">
        <x:v>Medium</x:v>
      </x:c>
      <x:c r="C6" s="25" t="n">
        <x:v>2032</x:v>
      </x:c>
      <x:c r="D6" s="25" t="str">
        <x:v>Evaluate QCD use</x:v>
      </x:c>
      <x:c r="E6" s="86" t="n">
        <x:v>10000</x:v>
      </x:c>
      <x:c r="F6" s="25" t="str">
        <x:v>A QCD may satisfy charitable goals while reducing taxable RMD income.</x:v>
      </x:c>
    </x:row>
    <x:row r="7">
      <x:c r="A7" s="25" t="str">
        <x:v>Charitable</x:v>
      </x:c>
      <x:c r="B7" s="25" t="str">
        <x:v>Medium</x:v>
      </x:c>
      <x:c r="C7" s="25" t="n">
        <x:v>2033</x:v>
      </x:c>
      <x:c r="D7" s="25" t="str">
        <x:v>Evaluate QCD use</x:v>
      </x:c>
      <x:c r="E7" s="86" t="n">
        <x:v>10000</x:v>
      </x:c>
      <x:c r="F7" s="25" t="str">
        <x:v>A QCD may satisfy charitable goals while reducing taxable RMD income.</x:v>
      </x:c>
    </x:row>
    <x:row r="8">
      <x:c r="A8" s="25" t="str">
        <x:v>Charitable</x:v>
      </x:c>
      <x:c r="B8" s="25" t="str">
        <x:v>Medium</x:v>
      </x:c>
      <x:c r="C8" s="25" t="n">
        <x:v>2034</x:v>
      </x:c>
      <x:c r="D8" s="25" t="str">
        <x:v>Evaluate QCD use</x:v>
      </x:c>
      <x:c r="E8" s="86" t="n">
        <x:v>10000</x:v>
      </x:c>
      <x:c r="F8" s="25" t="str">
        <x:v>A QCD may satisfy charitable goals while reducing taxable RMD income.</x:v>
      </x:c>
    </x:row>
    <x:row r="9">
      <x:c r="A9" s="25" t="str">
        <x:v>Charitable</x:v>
      </x:c>
      <x:c r="B9" s="25" t="str">
        <x:v>Medium</x:v>
      </x:c>
      <x:c r="C9" s="25" t="n">
        <x:v>2035</x:v>
      </x:c>
      <x:c r="D9" s="25" t="str">
        <x:v>Evaluate QCD use</x:v>
      </x:c>
      <x:c r="E9" s="86" t="n">
        <x:v>10000</x:v>
      </x:c>
      <x:c r="F9" s="25" t="str">
        <x:v>A QCD may satisfy charitable goals while reducing taxable RMD income.</x:v>
      </x:c>
    </x:row>
    <x:row r="10">
      <x:c r="A10" s="25" t="str">
        <x:v>Charitable</x:v>
      </x:c>
      <x:c r="B10" s="25" t="str">
        <x:v>Medium</x:v>
      </x:c>
      <x:c r="C10" s="25" t="n">
        <x:v>2036</x:v>
      </x:c>
      <x:c r="D10" s="25" t="str">
        <x:v>Evaluate QCD use</x:v>
      </x:c>
      <x:c r="E10" s="86" t="n">
        <x:v>10000</x:v>
      </x:c>
      <x:c r="F10" s="25" t="str">
        <x:v>A QCD may satisfy charitable goals while reducing taxable RMD income.</x:v>
      </x:c>
    </x:row>
    <x:row r="11">
      <x:c r="A11" s="25" t="str">
        <x:v>Charitable</x:v>
      </x:c>
      <x:c r="B11" s="25" t="str">
        <x:v>Medium</x:v>
      </x:c>
      <x:c r="C11" s="25" t="n">
        <x:v>2037</x:v>
      </x:c>
      <x:c r="D11" s="25" t="str">
        <x:v>Evaluate QCD use</x:v>
      </x:c>
      <x:c r="E11" s="86" t="n">
        <x:v>10000</x:v>
      </x:c>
      <x:c r="F11" s="25" t="str">
        <x:v>A QCD may satisfy charitable goals while reducing taxable RMD income.</x:v>
      </x:c>
    </x:row>
    <x:row r="12">
      <x:c r="A12" s="25" t="str">
        <x:v>Charitable</x:v>
      </x:c>
      <x:c r="B12" s="25" t="str">
        <x:v>Medium</x:v>
      </x:c>
      <x:c r="C12" s="25" t="n">
        <x:v>2038</x:v>
      </x:c>
      <x:c r="D12" s="25" t="str">
        <x:v>Evaluate QCD use</x:v>
      </x:c>
      <x:c r="E12" s="86" t="n">
        <x:v>10000</x:v>
      </x:c>
      <x:c r="F12" s="25" t="str">
        <x:v>A QCD may satisfy charitable goals while reducing taxable RMD income.</x:v>
      </x:c>
    </x:row>
    <x:row r="13">
      <x:c r="A13" s="25" t="str">
        <x:v>Charitable</x:v>
      </x:c>
      <x:c r="B13" s="25" t="str">
        <x:v>Medium</x:v>
      </x:c>
      <x:c r="C13" s="25" t="n">
        <x:v>2039</x:v>
      </x:c>
      <x:c r="D13" s="25" t="str">
        <x:v>Evaluate QCD use</x:v>
      </x:c>
      <x:c r="E13" s="86" t="n">
        <x:v>10000</x:v>
      </x:c>
      <x:c r="F13" s="25" t="str">
        <x:v>A QCD may satisfy charitable goals while reducing taxable RMD income.</x:v>
      </x:c>
    </x:row>
    <x:row r="14">
      <x:c r="A14" s="25" t="str">
        <x:v>Charitable</x:v>
      </x:c>
      <x:c r="B14" s="25" t="str">
        <x:v>Medium</x:v>
      </x:c>
      <x:c r="C14" s="25" t="n">
        <x:v>2040</x:v>
      </x:c>
      <x:c r="D14" s="25" t="str">
        <x:v>Evaluate QCD use</x:v>
      </x:c>
      <x:c r="E14" s="86" t="n">
        <x:v>10000</x:v>
      </x:c>
      <x:c r="F14" s="25" t="str">
        <x:v>A QCD may satisfy charitable goals while reducing taxable RMD income.</x:v>
      </x:c>
    </x:row>
    <x:row r="15">
      <x:c r="A15" s="25" t="str">
        <x:v>Charitable</x:v>
      </x:c>
      <x:c r="B15" s="25" t="str">
        <x:v>Medium</x:v>
      </x:c>
      <x:c r="C15" s="25" t="n">
        <x:v>2041</x:v>
      </x:c>
      <x:c r="D15" s="25" t="str">
        <x:v>Evaluate QCD use</x:v>
      </x:c>
      <x:c r="E15" s="86" t="n">
        <x:v>10000</x:v>
      </x:c>
      <x:c r="F15" s="25" t="str">
        <x:v>A QCD may satisfy charitable goals while reducing taxable RMD income.</x:v>
      </x:c>
    </x:row>
    <x:row r="16">
      <x:c r="A16" s="25" t="str">
        <x:v>Medicare</x:v>
      </x:c>
      <x:c r="B16" s="25" t="str">
        <x:v>Medium</x:v>
      </x:c>
      <x:c r="C16" s="25" t="n">
        <x:v>2041</x:v>
      </x:c>
      <x:c r="D16" s="25" t="str">
        <x:v>Review IRMAA threshold management</x:v>
      </x:c>
      <x:c r="E16" s="86" t="n">
        <x:v>2222.4</x:v>
      </x:c>
      <x:c r="F16" s="25" t="str">
        <x:v>MAGI produced an IRMAA surcharge; compare lower-income alternatives.</x:v>
      </x:c>
    </x:row>
    <x:row r="17">
      <x:c r="A17" s="25" t="str">
        <x:v>Charitable</x:v>
      </x:c>
      <x:c r="B17" s="25" t="str">
        <x:v>Medium</x:v>
      </x:c>
      <x:c r="C17" s="25" t="n">
        <x:v>2042</x:v>
      </x:c>
      <x:c r="D17" s="25" t="str">
        <x:v>Evaluate QCD use</x:v>
      </x:c>
      <x:c r="E17" s="86" t="n">
        <x:v>10000</x:v>
      </x:c>
      <x:c r="F17" s="25" t="str">
        <x:v>A QCD may satisfy charitable goals while reducing taxable RMD income.</x:v>
      </x:c>
    </x:row>
    <x:row r="18">
      <x:c r="A18" s="25" t="str">
        <x:v>Medicare</x:v>
      </x:c>
      <x:c r="B18" s="25" t="str">
        <x:v>Medium</x:v>
      </x:c>
      <x:c r="C18" s="25" t="n">
        <x:v>2042</x:v>
      </x:c>
      <x:c r="D18" s="25" t="str">
        <x:v>Review IRMAA threshold management</x:v>
      </x:c>
      <x:c r="E18" s="86" t="n">
        <x:v>2222.4</x:v>
      </x:c>
      <x:c r="F18" s="25" t="str">
        <x:v>MAGI produced an IRMAA surcharge; compare lower-income alternatives.</x:v>
      </x:c>
    </x:row>
    <x:row r="19">
      <x:c r="A19" s="25" t="str">
        <x:v>Charitable</x:v>
      </x:c>
      <x:c r="B19" s="25" t="str">
        <x:v>Medium</x:v>
      </x:c>
      <x:c r="C19" s="25" t="n">
        <x:v>2043</x:v>
      </x:c>
      <x:c r="D19" s="25" t="str">
        <x:v>Evaluate QCD use</x:v>
      </x:c>
      <x:c r="E19" s="86" t="n">
        <x:v>10000</x:v>
      </x:c>
      <x:c r="F19" s="25" t="str">
        <x:v>A QCD may satisfy charitable goals while reducing taxable RMD income.</x:v>
      </x:c>
    </x:row>
    <x:row r="20">
      <x:c r="A20" s="25" t="str">
        <x:v>Medicare</x:v>
      </x:c>
      <x:c r="B20" s="25" t="str">
        <x:v>Medium</x:v>
      </x:c>
      <x:c r="C20" s="25" t="n">
        <x:v>2043</x:v>
      </x:c>
      <x:c r="D20" s="25" t="str">
        <x:v>Review IRMAA threshold management</x:v>
      </x:c>
      <x:c r="E20" s="86" t="n">
        <x:v>2222.4</x:v>
      </x:c>
      <x:c r="F20" s="25" t="str">
        <x:v>MAGI produced an IRMAA surcharge; compare lower-income alternatives.</x:v>
      </x:c>
    </x:row>
    <x:row r="21">
      <x:c r="A21" s="25" t="str">
        <x:v>Charitable</x:v>
      </x:c>
      <x:c r="B21" s="25" t="str">
        <x:v>Medium</x:v>
      </x:c>
      <x:c r="C21" s="25" t="n">
        <x:v>2044</x:v>
      </x:c>
      <x:c r="D21" s="25" t="str">
        <x:v>Evaluate QCD use</x:v>
      </x:c>
      <x:c r="E21" s="86" t="n">
        <x:v>10000</x:v>
      </x:c>
      <x:c r="F21" s="25" t="str">
        <x:v>A QCD may satisfy charitable goals while reducing taxable RMD income.</x:v>
      </x:c>
    </x:row>
    <x:row r="22">
      <x:c r="A22" s="25" t="str">
        <x:v>Medicare</x:v>
      </x:c>
      <x:c r="B22" s="25" t="str">
        <x:v>Medium</x:v>
      </x:c>
      <x:c r="C22" s="25" t="n">
        <x:v>2044</x:v>
      </x:c>
      <x:c r="D22" s="25" t="str">
        <x:v>Review IRMAA threshold management</x:v>
      </x:c>
      <x:c r="E22" s="86" t="n">
        <x:v>2222.4</x:v>
      </x:c>
      <x:c r="F22" s="25" t="str">
        <x:v>MAGI produced an IRMAA surcharge; compare lower-income alternatives.</x:v>
      </x:c>
    </x:row>
    <x:row r="23">
      <x:c r="A23" s="25" t="str">
        <x:v>Charitable</x:v>
      </x:c>
      <x:c r="B23" s="25" t="str">
        <x:v>Medium</x:v>
      </x:c>
      <x:c r="C23" s="25" t="n">
        <x:v>2045</x:v>
      </x:c>
      <x:c r="D23" s="25" t="str">
        <x:v>Evaluate QCD use</x:v>
      </x:c>
      <x:c r="E23" s="86" t="n">
        <x:v>10000</x:v>
      </x:c>
      <x:c r="F23" s="25" t="str">
        <x:v>A QCD may satisfy charitable goals while reducing taxable RMD income.</x:v>
      </x:c>
    </x:row>
    <x:row r="24">
      <x:c r="A24" s="25" t="str">
        <x:v>Medicare</x:v>
      </x:c>
      <x:c r="B24" s="25" t="str">
        <x:v>Medium</x:v>
      </x:c>
      <x:c r="C24" s="25" t="n">
        <x:v>2045</x:v>
      </x:c>
      <x:c r="D24" s="25" t="str">
        <x:v>Review IRMAA threshold management</x:v>
      </x:c>
      <x:c r="E24" s="86" t="n">
        <x:v>2222.4</x:v>
      </x:c>
      <x:c r="F24" s="25" t="str">
        <x:v>MAGI produced an IRMAA surcharge; compare lower-income alternatives.</x:v>
      </x:c>
    </x:row>
    <x:row r="25">
      <x:c r="A25" s="25"/>
      <x:c r="B25" s="25"/>
      <x:c r="C25" s="25"/>
      <x:c r="D25" s="25"/>
      <x:c r="E25" s="25"/>
      <x:c r="F25" s="25"/>
    </x:row>
    <x:row r="26">
      <x:c r="A26" s="25"/>
      <x:c r="B26" s="25"/>
      <x:c r="C26" s="25"/>
      <x:c r="D26" s="25"/>
      <x:c r="E26" s="25"/>
      <x:c r="F26" s="25"/>
    </x:row>
  </x:sheetData>
  <x:mergeCells>
    <x:mergeCell ref="A1:F2"/>
  </x:mergeCells>
  <x:conditionalFormatting sqref="B5:B24">
    <x:cfRule type="expression" dxfId="9" priority="1">
      <x:formula>B5="High"</x:formula>
    </x:cfRule>
    <x:cfRule type="expression" dxfId="10" priority="2">
      <x:formula>B5="Medium"</x:formula>
    </x:cfRule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sheetData>
    <x:row r="1">
      <x:c r="A1" s="173" t="str">
        <x:v>Retirement Planner Version 3.0 RC1 — Integrated Summary</x:v>
      </x:c>
      <x:c r="B1" s="173"/>
      <x:c r="C1" s="173"/>
      <x:c r="D1" s="173"/>
      <x:c r="E1" s="173"/>
      <x:c r="F1" s="173"/>
      <x:c r="G1" s="173"/>
      <x:c r="H1" s="173"/>
    </x:row>
    <x:row r="2">
      <x:c r="A2" s="173"/>
      <x:c r="B2" s="173"/>
      <x:c r="C2" s="173"/>
      <x:c r="D2" s="173"/>
      <x:c r="E2" s="173"/>
      <x:c r="F2" s="173"/>
      <x:c r="G2" s="173"/>
      <x:c r="H2" s="173"/>
    </x:row>
    <x:row r="4">
      <x:c r="A4" s="169" t="str">
        <x:v>Metric</x:v>
      </x:c>
      <x:c r="B4" s="169" t="str">
        <x:v>Workbook Formula Result</x:v>
      </x:c>
      <x:c r="D4" s="169" t="str">
        <x:v>Metric</x:v>
      </x:c>
      <x:c r="E4" s="169" t="str">
        <x:v>Engine Output</x:v>
      </x:c>
      <x:c r="F4" s="169" t="str">
        <x:v>Difference</x:v>
      </x:c>
    </x:row>
    <x:row r="5">
      <x:c r="A5" t="str">
        <x:v>Projection years</x:v>
      </x:c>
      <x:c r="B5" s="177" t="n">
        <x:f>COUNTA(Projection!A2:A29)</x:f>
        <x:v>28</x:v>
      </x:c>
      <x:c r="D5" t="str">
        <x:v>Projection years</x:v>
      </x:c>
      <x:c r="E5" s="177" t="n">
        <x:v>28</x:v>
      </x:c>
      <x:c r="F5" s="177" t="n">
        <x:f>B5-E5</x:f>
        <x:v>0</x:v>
      </x:c>
    </x:row>
    <x:row r="6">
      <x:c r="A6" t="str">
        <x:v>Ending portfolio</x:v>
      </x:c>
      <x:c r="B6" s="48" t="n">
        <x:f>INDEX(Projection!AN2:AN29,COUNTA(Projection!A2:A29))</x:f>
        <x:v>6200448.3437886145</x:v>
      </x:c>
      <x:c r="D6" t="str">
        <x:v>Ending portfolio</x:v>
      </x:c>
      <x:c r="E6" s="48" t="n">
        <x:v>6200448.3437886145</x:v>
      </x:c>
      <x:c r="F6" s="48" t="n">
        <x:f>B6-E6</x:f>
        <x:v>0</x:v>
      </x:c>
    </x:row>
    <x:row r="7">
      <x:c r="A7" t="str">
        <x:v>Lifetime federal tax</x:v>
      </x:c>
      <x:c r="B7" s="48" t="n">
        <x:f>SUM(Projection!AA2:AA29)</x:f>
        <x:v>825218.3171548272</x:v>
      </x:c>
      <x:c r="D7" t="str">
        <x:v>Lifetime federal tax</x:v>
      </x:c>
      <x:c r="E7" s="48" t="n">
        <x:v>825218.3171548272</x:v>
      </x:c>
      <x:c r="F7" s="48" t="n">
        <x:f>B7-E7</x:f>
        <x:v>0</x:v>
      </x:c>
    </x:row>
    <x:row r="8">
      <x:c r="A8" t="str">
        <x:v>Lifetime state tax</x:v>
      </x:c>
      <x:c r="B8" s="48" t="n">
        <x:f>SUM(Projection!AB2:AB29)</x:f>
        <x:v>0</x:v>
      </x:c>
      <x:c r="D8" t="str">
        <x:v>Lifetime state tax</x:v>
      </x:c>
      <x:c r="E8" s="48" t="n">
        <x:v>0</x:v>
      </x:c>
      <x:c r="F8" s="48" t="n">
        <x:f>B8-E8</x:f>
        <x:v>0</x:v>
      </x:c>
    </x:row>
    <x:row r="9">
      <x:c r="A9" t="str">
        <x:v>Lifetime IRMAA</x:v>
      </x:c>
      <x:c r="B9" s="48" t="n">
        <x:f>SUM(Projection!AC2:AC29)</x:f>
        <x:v>53539.2</x:v>
      </x:c>
      <x:c r="D9" t="str">
        <x:v>Lifetime IRMAA</x:v>
      </x:c>
      <x:c r="E9" s="48" t="n">
        <x:v>53539.200000000004</x:v>
      </x:c>
      <x:c r="F9" s="48" t="n">
        <x:f>B9-E9</x:f>
        <x:v>-7.275957614183426e-12</x:v>
      </x:c>
    </x:row>
    <x:row r="10">
      <x:c r="A10" t="str">
        <x:v>Lifetime Roth conversions</x:v>
      </x:c>
      <x:c r="B10" s="48" t="n">
        <x:f>SUM(Projection!K2:K29)</x:f>
        <x:v>300000</x:v>
      </x:c>
      <x:c r="D10" t="str">
        <x:v>Lifetime Roth conversions</x:v>
      </x:c>
      <x:c r="E10" s="48" t="n">
        <x:v>300000</x:v>
      </x:c>
      <x:c r="F10" s="48" t="n">
        <x:f>B10-E10</x:f>
        <x:v>0</x:v>
      </x:c>
    </x:row>
    <x:row r="11">
      <x:c r="A11" t="str">
        <x:v>Lifetime IRA spending withdrawals</x:v>
      </x:c>
      <x:c r="B11" s="48" t="n">
        <x:f>SUM(Projection!I2:I29)+SUM(Projection!AI2:AI29)</x:f>
        <x:v>672000</x:v>
      </x:c>
      <x:c r="D11" t="str">
        <x:v>Lifetime IRA spending withdrawals</x:v>
      </x:c>
      <x:c r="E11" s="48" t="n">
        <x:v>672000</x:v>
      </x:c>
      <x:c r="F11" s="48" t="n">
        <x:f>B11-E11</x:f>
        <x:v>0</x:v>
      </x:c>
    </x:row>
    <x:row r="12">
      <x:c r="A12" t="str">
        <x:v>Lifetime QCD</x:v>
      </x:c>
      <x:c r="B12" s="48" t="n">
        <x:f>SUM(Projection!H2:H29)</x:f>
        <x:v>0</x:v>
      </x:c>
      <x:c r="D12" t="str">
        <x:v>Lifetime QCD</x:v>
      </x:c>
      <x:c r="E12" s="48" t="n">
        <x:v>0</x:v>
      </x:c>
      <x:c r="F12" s="48" t="n">
        <x:f>B12-E12</x:f>
        <x:v>0</x:v>
      </x:c>
    </x:row>
    <x:row r="13">
      <x:c r="A13" t="str">
        <x:v>Unfunded conversion tax</x:v>
      </x:c>
      <x:c r="B13" s="48" t="n">
        <x:f>SUM(Projection!R2:R29)</x:f>
        <x:v>0</x:v>
      </x:c>
      <x:c r="D13" t="str">
        <x:v>Unfunded conversion tax</x:v>
      </x:c>
      <x:c r="E13" s="48" t="n">
        <x:v>0</x:v>
      </x:c>
      <x:c r="F13" s="48" t="n">
        <x:f>B13-E13</x:f>
        <x:v>0</x:v>
      </x:c>
    </x:row>
    <x:row r="16">
      <x:c r="A16" s="179" t="str">
        <x:v>Independent Calculation Benchmarks</x:v>
      </x:c>
      <x:c r="B16" s="179"/>
      <x:c r="C16" s="179"/>
      <x:c r="D16" s="179"/>
      <x:c r="E16" s="179"/>
      <x:c r="F16" s="179"/>
      <x:c r="G16" s="179"/>
      <x:c r="H16" s="179"/>
    </x:row>
    <x:row r="17">
      <x:c r="A17" s="169" t="str">
        <x:v>Benchmark</x:v>
      </x:c>
      <x:c r="B17" s="169" t="str">
        <x:v>Expected</x:v>
      </x:c>
      <x:c r="C17" s="169" t="str">
        <x:v>Actual</x:v>
      </x:c>
      <x:c r="D17" s="169" t="str">
        <x:v>Tolerance</x:v>
      </x:c>
      <x:c r="E17" s="169" t="str">
        <x:v>Status</x:v>
      </x:c>
      <x:c r="F17" s="169" t="str">
        <x:v>Description</x:v>
      </x:c>
    </x:row>
    <x:row r="18">
      <x:c r="A18" t="str">
        <x:v>FED_TAX_MFJ_100800</x:v>
      </x:c>
      <x:c r="B18" s="180" t="n">
        <x:v>11600</x:v>
      </x:c>
      <x:c r="C18" s="180" t="n">
        <x:v>11600</x:v>
      </x:c>
      <x:c r="D18" s="180" t="n">
        <x:v>0.01</x:v>
      </x:c>
      <x:c r="E18" t="str">
        <x:v>PASS</x:v>
      </x:c>
      <x:c r="F18" t="str">
        <x:v>Progressive federal tax through the 12% bracket.</x:v>
      </x:c>
    </x:row>
    <x:row r="19">
      <x:c r="A19" t="str">
        <x:v>RMD_AGE75</x:v>
      </x:c>
      <x:c r="B19" s="180" t="n">
        <x:v>50000</x:v>
      </x:c>
      <x:c r="C19" s="180" t="n">
        <x:v>50000</x:v>
      </x:c>
      <x:c r="D19" s="180" t="n">
        <x:v>0.01</x:v>
      </x:c>
      <x:c r="E19" t="str">
        <x:v>PASS</x:v>
      </x:c>
      <x:c r="F19" t="str">
        <x:v>Uniform Lifetime Table divisor benchmark.</x:v>
      </x:c>
    </x:row>
    <x:row r="20">
      <x:c r="A20" t="str">
        <x:v>SS_85_PERCENT_CAP</x:v>
      </x:c>
      <x:c r="B20" s="180" t="n">
        <x:v>34000</x:v>
      </x:c>
      <x:c r="C20" s="180" t="n">
        <x:v>34000</x:v>
      </x:c>
      <x:c r="D20" s="180" t="n">
        <x:v>0.01</x:v>
      </x:c>
      <x:c r="E20" t="str">
        <x:v>PASS</x:v>
      </x:c>
      <x:c r="F20" t="str">
        <x:v>Taxable Social Security statutory cap.</x:v>
      </x:c>
    </x:row>
    <x:row r="21">
      <x:c r="A21" t="str">
        <x:v>CONVERSION_TAX_SAVINGS</x:v>
      </x:c>
      <x:c r="B21" s="180" t="n">
        <x:v>50000</x:v>
      </x:c>
      <x:c r="C21" s="180" t="n">
        <x:v>50000</x:v>
      </x:c>
      <x:c r="D21" s="180" t="n">
        <x:v>0.01</x:v>
      </x:c>
      <x:c r="E21" t="str">
        <x:v>PASS</x:v>
      </x:c>
      <x:c r="F21" t="str">
        <x:v>Savings-funded conversion tax leaves gross conversion fully deposited.</x:v>
      </x:c>
    </x:row>
    <x:row r="22">
      <x:c r="A22" t="str">
        <x:v>CONVERSION_TAX_WITHHOLDING</x:v>
      </x:c>
      <x:c r="B22" s="180" t="n">
        <x:v>40000</x:v>
      </x:c>
      <x:c r="C22" s="180" t="n">
        <x:v>40000</x:v>
      </x:c>
      <x:c r="D22" s="180" t="n">
        <x:v>0.01</x:v>
      </x:c>
      <x:c r="E22" t="str">
        <x:v>PASS</x:v>
      </x:c>
      <x:c r="F22" t="str">
        <x:v>Withholding reduces the Roth deposit dollar-for-dollar.</x:v>
      </x:c>
    </x:row>
  </x:sheetData>
  <x:mergeCells>
    <x:mergeCell ref="A1:H2"/>
    <x:mergeCell ref="A16:H16"/>
  </x:mergeCells>
  <x:conditionalFormatting sqref="F5:F13">
    <x:cfRule type="expression" dxfId="11" priority="1">
      <x:formula>ABS(F5)&gt;0.01</x:formula>
    </x:cfRule>
    <x:cfRule type="expression" dxfId="12" priority="2">
      <x:formula>ABS(F5)&lt;=0.01</x:formula>
    </x:cfRule>
  </x:conditionalFormatting>
  <x:conditionalFormatting sqref="E18:E22">
    <x:cfRule type="expression" dxfId="13" priority="3">
      <x:formula>E18="PASS"</x:formula>
    </x:cfRule>
    <x:cfRule type="expression" dxfId="14" priority="4">
      <x:formula>E18="FAIL"</x:formula>
    </x:cfRule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4" max="4" width="30" hidden="0" customWidth="1"/>
    <x:col min="5" max="5" width="25" hidden="0" customWidth="1"/>
    <x:col min="6" max="6" width="25" hidden="0" customWidth="1"/>
    <x:col min="7" max="7" width="25" hidden="0" customWidth="1"/>
    <x:col min="8" max="8" width="14" hidden="0" customWidth="1"/>
  </x:cols>
  <x:sheetData>
    <x:row r="1">
      <x:c r="A1" s="181" t="str">
        <x:v>Version 3.0 RC1 Validation Dashboard</x:v>
      </x:c>
      <x:c r="B1" s="181"/>
      <x:c r="C1" s="181"/>
      <x:c r="D1" s="181"/>
      <x:c r="E1" s="181"/>
      <x:c r="F1" s="181"/>
      <x:c r="G1" s="181"/>
      <x:c r="H1" s="181"/>
    </x:row>
    <x:row r="2">
      <x:c r="A2" s="181"/>
      <x:c r="B2" s="181"/>
      <x:c r="C2" s="181"/>
      <x:c r="D2" s="181"/>
      <x:c r="E2" s="181"/>
      <x:c r="F2" s="181"/>
      <x:c r="G2" s="181"/>
      <x:c r="H2" s="181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182" t="str">
        <x:v>Validation Area</x:v>
      </x:c>
      <x:c r="B4" s="182" t="str">
        <x:v>Status</x:v>
      </x:c>
      <x:c r="C4" s="25"/>
      <x:c r="D4" s="183" t="str">
        <x:v>Key RC1 Changes</x:v>
      </x:c>
      <x:c r="E4" s="183"/>
      <x:c r="F4" s="183"/>
      <x:c r="G4" s="183"/>
      <x:c r="H4" s="183"/>
    </x:row>
    <x:row r="5">
      <x:c r="A5" s="25" t="str">
        <x:v>Automated unit/integration tests</x:v>
      </x:c>
      <x:c r="B5" s="25" t="str">
        <x:v>PASS</x:v>
      </x:c>
      <x:c r="C5" s="25"/>
      <x:c r="D5" s="182" t="str">
        <x:v>Change</x:v>
      </x:c>
      <x:c r="E5" s="182" t="str">
        <x:v>Reason</x:v>
      </x:c>
      <x:c r="F5" s="182" t="str">
        <x:v>Effect</x:v>
      </x:c>
      <x:c r="G5" s="182" t="str">
        <x:v>Test Coverage</x:v>
      </x:c>
      <x:c r="H5" s="182" t="str">
        <x:v>Status</x:v>
      </x:c>
    </x:row>
    <x:row r="6">
      <x:c r="A6" s="25" t="str">
        <x:v>Independent calculation benchmarks</x:v>
      </x:c>
      <x:c r="B6" s="25" t="str">
        <x:f>IF(COUNTIF('RC1 Summary'!E18:E22,"FAIL")=0,"PASS","FAIL")</x:f>
        <x:v>PASS</x:v>
      </x:c>
      <x:c r="C6" s="25"/>
      <x:c r="D6" s="25" t="str">
        <x:v>Traditional IRA gross-up</x:v>
      </x:c>
      <x:c r="E6" s="25" t="str">
        <x:v>Extra withdrawals create tax</x:v>
      </x:c>
      <x:c r="F6" s="25" t="str">
        <x:v>Net shortfall funding is tax-aware</x:v>
      </x:c>
      <x:c r="G6" s="25" t="str">
        <x:v>Dedicated gross-up test</x:v>
      </x:c>
      <x:c r="H6" s="25" t="str">
        <x:v>PASS</x:v>
      </x:c>
    </x:row>
    <x:row r="7">
      <x:c r="A7" s="25" t="str">
        <x:v>Workbook-to-engine parity</x:v>
      </x:c>
      <x:c r="B7" s="25" t="str">
        <x:f>IF(AND(MAX('RC1 Summary'!F5:F13)&lt;=0.01,MIN('RC1 Summary'!F5:F13)&gt;=-0.01),"PASS","FAIL")</x:f>
        <x:v>PASS</x:v>
      </x:c>
      <x:c r="C7" s="25"/>
      <x:c r="D7" s="25" t="str">
        <x:v>Independent benchmarks</x:v>
      </x:c>
      <x:c r="E7" s="25" t="str">
        <x:v>Validate core formulas</x:v>
      </x:c>
      <x:c r="F7" s="25" t="str">
        <x:v>Tax/RMD/SS/funding checks</x:v>
      </x:c>
      <x:c r="G7" s="25" t="str">
        <x:v>5 benchmarks</x:v>
      </x:c>
      <x:c r="H7" s="25" t="str">
        <x:v>PASS</x:v>
      </x:c>
    </x:row>
    <x:row r="8">
      <x:c r="A8" s="25" t="str">
        <x:v>Projection reconciliation</x:v>
      </x:c>
      <x:c r="B8" s="25" t="str">
        <x:f>IF(SUM(Projection!R2:R29)=0,"PASS","WARN")</x:f>
        <x:v>PASS</x:v>
      </x:c>
      <x:c r="C8" s="25"/>
      <x:c r="D8" s="25" t="str">
        <x:v>Live projection integration</x:v>
      </x:c>
      <x:c r="E8" s="25" t="str">
        <x:v>Remove illustrative outputs</x:v>
      </x:c>
      <x:c r="F8" s="25" t="str">
        <x:v>Workbook reflects RC1 engine CSV</x:v>
      </x:c>
      <x:c r="G8" s="25" t="str">
        <x:v>Parity formulas</x:v>
      </x:c>
      <x:c r="H8" s="25" t="str">
        <x:v>PASS</x:v>
      </x:c>
    </x:row>
    <x:row r="9">
      <x:c r="A9" s="25" t="str">
        <x:v>Formula error scan</x:v>
      </x:c>
      <x:c r="B9" s="25" t="str">
        <x:v>PASS</x:v>
      </x:c>
      <x:c r="C9" s="25"/>
      <x:c r="D9" s="25" t="str">
        <x:v>Clean release package</x:v>
      </x:c>
      <x:c r="E9" s="25" t="str">
        <x:v>Reduce obsolete artifacts</x:v>
      </x:c>
      <x:c r="F9" s="25" t="str">
        <x:v>One RC1 workbook</x:v>
      </x:c>
      <x:c r="G9" s="25" t="str">
        <x:v>Release validation</x:v>
      </x:c>
      <x:c r="H9" s="25" t="str">
        <x:v>PASS</x:v>
      </x:c>
    </x:row>
    <x:row r="10">
      <x:c r="A10" s="25" t="str">
        <x:v>Release structure</x:v>
      </x:c>
      <x:c r="B10" s="25" t="str">
        <x:v>PASS</x:v>
      </x:c>
      <x:c r="C10" s="25"/>
      <x:c r="D10" s="25" t="str">
        <x:v>Workbook error scan</x:v>
      </x:c>
      <x:c r="E10" s="25" t="str">
        <x:v>Prevent broken formulas</x:v>
      </x:c>
      <x:c r="F10" s="25" t="str">
        <x:v>No common Excel errors</x:v>
      </x:c>
      <x:c r="G10" s="25" t="str">
        <x:v>Artifact-tool scan</x:v>
      </x:c>
      <x:c r="H10" s="25" t="str">
        <x:v>PASS</x:v>
      </x:c>
    </x:row>
    <x:row r="11">
      <x:c r="A11" s="25" t="str">
        <x:v>Checksum manifest</x:v>
      </x:c>
      <x:c r="B11" s="25" t="str">
        <x:v>PASS</x:v>
      </x:c>
      <x:c r="C11" s="25"/>
      <x:c r="D11" s="25"/>
      <x:c r="E11" s="25"/>
      <x:c r="F11" s="25"/>
      <x:c r="G11" s="25"/>
      <x:c r="H11" s="25"/>
    </x:row>
    <x:row r="12">
      <x:c r="A12" s="25" t="str">
        <x:v>RC1 readiness</x:v>
      </x:c>
      <x:c r="B12" s="25" t="str">
        <x:f>IF(COUNTIF(B5:B11,"FAIL")=0,"PASS","FAIL")</x:f>
        <x:v>PASS</x:v>
      </x:c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183" t="str">
        <x:v>Release Candidate Limitations</x:v>
      </x:c>
      <x:c r="B15" s="183"/>
      <x:c r="C15" s="183"/>
      <x:c r="D15" s="183"/>
      <x:c r="E15" s="183"/>
      <x:c r="F15" s="183"/>
      <x:c r="G15" s="183"/>
      <x:c r="H15" s="183"/>
    </x:row>
    <x:row r="16">
      <x:c r="A16" s="182" t="str">
        <x:v>Area</x:v>
      </x:c>
      <x:c r="B16" s="182" t="str">
        <x:v>Limitation / Required Review</x:v>
      </x:c>
      <x:c r="C16" s="25" t="str"/>
      <x:c r="D16" s="25" t="str"/>
      <x:c r="E16" s="25" t="str"/>
      <x:c r="F16" s="25" t="str"/>
      <x:c r="G16" s="25" t="str"/>
      <x:c r="H16" s="25" t="str"/>
    </x:row>
    <x:row r="17">
      <x:c r="A17" s="25" t="str">
        <x:v>ACA</x:v>
      </x:c>
      <x:c r="B17" s="25" t="str">
        <x:v>Local SLCSP premiums and applicable contribution rules require current, location-specific verification.</x:v>
      </x:c>
      <x:c r="C17" s="25" t="str"/>
      <x:c r="D17" s="25" t="str"/>
      <x:c r="E17" s="25" t="str"/>
      <x:c r="F17" s="25" t="str"/>
      <x:c r="G17" s="25" t="str"/>
      <x:c r="H17" s="25" t="str"/>
    </x:row>
    <x:row r="18">
      <x:c r="A18" s="25" t="str">
        <x:v>State tax</x:v>
      </x:c>
      <x:c r="B18" s="25" t="str">
        <x:v>Only configured state templates are supported; New Mexico remains a manual-review template.</x:v>
      </x:c>
      <x:c r="C18" s="25" t="str"/>
      <x:c r="D18" s="25" t="str"/>
      <x:c r="E18" s="25" t="str"/>
      <x:c r="F18" s="25" t="str"/>
      <x:c r="G18" s="25" t="str"/>
      <x:c r="H18" s="25" t="str"/>
    </x:row>
    <x:row r="19">
      <x:c r="A19" s="25" t="str">
        <x:v>IRMAA</x:v>
      </x:c>
      <x:c r="B19" s="25" t="str">
        <x:v>Thresholds and premiums must be updated annually and applied using the Medicare lookback rules.</x:v>
      </x:c>
      <x:c r="C19" s="25" t="str"/>
      <x:c r="D19" s="25" t="str"/>
      <x:c r="E19" s="25" t="str"/>
      <x:c r="F19" s="25" t="str"/>
      <x:c r="G19" s="25" t="str"/>
      <x:c r="H19" s="25" t="str"/>
    </x:row>
    <x:row r="20">
      <x:c r="A20" s="25" t="str">
        <x:v>Professional use</x:v>
      </x:c>
      <x:c r="B20" s="25" t="str">
        <x:v>The model is planning software, not a tax return or legal/investment advice.</x:v>
      </x:c>
      <x:c r="C20" s="25" t="str"/>
      <x:c r="D20" s="25" t="str"/>
      <x:c r="E20" s="25" t="str"/>
      <x:c r="F20" s="25" t="str"/>
      <x:c r="G20" s="25" t="str"/>
      <x:c r="H20" s="25" t="str"/>
    </x:row>
    <x:row r="21">
      <x:c r="A21" s="25"/>
      <x:c r="B21" s="25"/>
      <x:c r="C21" s="25"/>
      <x:c r="D21" s="25"/>
      <x:c r="E21" s="25"/>
      <x:c r="F21" s="25"/>
      <x:c r="G21" s="25"/>
      <x:c r="H21" s="25"/>
    </x:row>
    <x:row r="22">
      <x:c r="A22" s="25"/>
      <x:c r="B22" s="25"/>
      <x:c r="C22" s="25"/>
      <x:c r="D22" s="25"/>
      <x:c r="E22" s="25"/>
      <x:c r="F22" s="25"/>
      <x:c r="G22" s="25"/>
      <x:c r="H22" s="25"/>
    </x:row>
  </x:sheetData>
  <x:mergeCells>
    <x:mergeCell ref="A1:H2"/>
    <x:mergeCell ref="D4:H4"/>
    <x:mergeCell ref="A15:H15"/>
  </x:mergeCells>
  <x:conditionalFormatting sqref="B5:B12">
    <x:cfRule type="expression" dxfId="15" priority="1">
      <x:formula>B5="PASS"</x:formula>
    </x:cfRule>
    <x:cfRule type="expression" dxfId="16" priority="2">
      <x:formula>B5="WARN"</x:formula>
    </x:cfRule>
    <x:cfRule type="expression" dxfId="17" priority="3">
      <x:formula>B5="FAIL"</x:formula>
    </x:cfRule>
  </x:conditionalFormatting>
  <x:conditionalFormatting sqref="H6:H10">
    <x:cfRule type="expression" dxfId="18" priority="4">
      <x:formula>H6="PASS"</x:formula>
    </x:cfRule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65" hidden="0" customWidth="1"/>
    <x:col min="4" max="4" width="18" hidden="0" customWidth="1"/>
  </x:cols>
  <x:sheetData>
    <x:row r="1">
      <x:c r="A1" s="200" t="str">
        <x:v>Dynamic Tax Law Repository — 2026</x:v>
      </x:c>
      <x:c r="B1" s="200"/>
      <x:c r="C1" s="200"/>
      <x:c r="D1" s="200"/>
      <x:c r="E1" s="200"/>
      <x:c r="F1" s="200"/>
      <x:c r="G1" s="200"/>
    </x:row>
    <x:row r="2">
      <x:c r="A2" s="200"/>
      <x:c r="B2" s="200"/>
      <x:c r="C2" s="200"/>
      <x:c r="D2" s="200"/>
      <x:c r="E2" s="200"/>
      <x:c r="F2" s="200"/>
      <x:c r="G2" s="200"/>
    </x:row>
    <x:row r="3">
      <x:c r="A3" s="25"/>
      <x:c r="B3" s="25"/>
      <x:c r="C3" s="25"/>
      <x:c r="D3" s="25"/>
      <x:c r="E3" s="25"/>
      <x:c r="F3" s="25"/>
      <x:c r="G3" s="25"/>
    </x:row>
    <x:row r="4">
      <x:c r="A4" s="201" t="str">
        <x:v>Item</x:v>
      </x:c>
      <x:c r="B4" s="201" t="str">
        <x:v>Value</x:v>
      </x:c>
      <x:c r="C4" s="201" t="str">
        <x:v>Units</x:v>
      </x:c>
      <x:c r="D4" s="201" t="str">
        <x:v>Status</x:v>
      </x:c>
      <x:c r="E4" s="25"/>
      <x:c r="F4" s="25"/>
      <x:c r="G4" s="25"/>
    </x:row>
    <x:row r="5">
      <x:c r="A5" s="25" t="str">
        <x:v>Tax year</x:v>
      </x:c>
      <x:c r="B5" s="25" t="n">
        <x:v>2026</x:v>
      </x:c>
      <x:c r="C5" s="25" t="str">
        <x:v>year</x:v>
      </x:c>
      <x:c r="D5" s="25" t="str">
        <x:v>Loaded</x:v>
      </x:c>
      <x:c r="E5" s="25"/>
      <x:c r="F5" s="25"/>
      <x:c r="G5" s="25"/>
    </x:row>
    <x:row r="6">
      <x:c r="A6" s="25" t="str">
        <x:v>Configuration version</x:v>
      </x:c>
      <x:c r="B6" s="25" t="str">
        <x:v>2026.1</x:v>
      </x:c>
      <x:c r="C6" s="25" t="str"/>
      <x:c r="D6" s="25" t="str">
        <x:v>Loaded</x:v>
      </x:c>
      <x:c r="E6" s="25"/>
      <x:c r="F6" s="25"/>
      <x:c r="G6" s="25"/>
    </x:row>
    <x:row r="7">
      <x:c r="A7" s="25" t="str">
        <x:v>Effective date</x:v>
      </x:c>
      <x:c r="B7" s="25" t="str">
        <x:v>2026-01-01</x:v>
      </x:c>
      <x:c r="C7" s="25" t="str">
        <x:v>date</x:v>
      </x:c>
      <x:c r="D7" s="25" t="str">
        <x:v>Loaded</x:v>
      </x:c>
      <x:c r="E7" s="25"/>
      <x:c r="F7" s="25"/>
      <x:c r="G7" s="25"/>
    </x:row>
    <x:row r="8">
      <x:c r="A8" s="25" t="str">
        <x:v>MFJ standard deduction</x:v>
      </x:c>
      <x:c r="B8" s="86" t="n">
        <x:v>32200</x:v>
      </x:c>
      <x:c r="C8" s="25" t="str">
        <x:v>$</x:v>
      </x:c>
      <x:c r="D8" s="25" t="str">
        <x:v>Verified input</x:v>
      </x:c>
      <x:c r="E8" s="25"/>
      <x:c r="F8" s="25"/>
      <x:c r="G8" s="25"/>
    </x:row>
    <x:row r="9">
      <x:c r="A9" s="25" t="str">
        <x:v>Medicare Part B monthly</x:v>
      </x:c>
      <x:c r="B9" s="86" t="n">
        <x:v>202.9</x:v>
      </x:c>
      <x:c r="C9" s="25" t="str">
        <x:v>$/month</x:v>
      </x:c>
      <x:c r="D9" s="25" t="str">
        <x:v>Verified input</x:v>
      </x:c>
      <x:c r="E9" s="25"/>
      <x:c r="F9" s="25"/>
      <x:c r="G9" s="25"/>
    </x:row>
    <x:row r="10">
      <x:c r="A10" s="25" t="str">
        <x:v>Part B deductible</x:v>
      </x:c>
      <x:c r="B10" s="86" t="n">
        <x:v>283</x:v>
      </x:c>
      <x:c r="C10" s="25" t="str">
        <x:v>$</x:v>
      </x:c>
      <x:c r="D10" s="25" t="str">
        <x:v>Verified input</x:v>
      </x:c>
      <x:c r="E10" s="25"/>
      <x:c r="F10" s="25"/>
      <x:c r="G10" s="25"/>
    </x:row>
    <x:row r="11">
      <x:c r="A11" s="25" t="str">
        <x:v>Estate basic exclusion</x:v>
      </x:c>
      <x:c r="B11" s="86" t="n">
        <x:v>15000000</x:v>
      </x:c>
      <x:c r="C11" s="25" t="str">
        <x:v>$</x:v>
      </x:c>
      <x:c r="D11" s="25" t="str">
        <x:v>Verified input</x:v>
      </x:c>
      <x:c r="E11" s="25"/>
      <x:c r="F11" s="25"/>
      <x:c r="G11" s="25"/>
    </x:row>
    <x:row r="12">
      <x:c r="A12" s="25"/>
      <x:c r="B12" s="25"/>
      <x:c r="C12" s="25"/>
      <x:c r="D12" s="25"/>
      <x:c r="E12" s="25"/>
      <x:c r="F12" s="25"/>
      <x:c r="G12" s="25"/>
    </x:row>
    <x:row r="13">
      <x:c r="A13" s="202" t="str">
        <x:v>2026 MFJ Federal Brackets</x:v>
      </x:c>
      <x:c r="B13" s="202"/>
      <x:c r="C13" s="202"/>
      <x:c r="D13" s="202"/>
      <x:c r="E13" s="202"/>
      <x:c r="F13" s="202"/>
      <x:c r="G13" s="202"/>
    </x:row>
    <x:row r="14">
      <x:c r="A14" s="201" t="str">
        <x:v>Upper Limit</x:v>
      </x:c>
      <x:c r="B14" s="201" t="str">
        <x:v>Rate</x:v>
      </x:c>
      <x:c r="C14" s="201" t="str">
        <x:v>Source</x:v>
      </x:c>
      <x:c r="D14" s="25"/>
      <x:c r="E14" s="25"/>
      <x:c r="F14" s="25"/>
      <x:c r="G14" s="25"/>
    </x:row>
    <x:row r="15">
      <x:c r="A15" s="86" t="n">
        <x:v>24800</x:v>
      </x:c>
      <x:c r="B15" s="89" t="n">
        <x:v>0.1</x:v>
      </x:c>
      <x:c r="C15" s="25" t="str">
        <x:v>https://www.irs.gov/newsroom/irs-releases-tax-inflation-adjustments-for-tax-year-2026-including-amendments-from-the-one-big-beautiful-bill</x:v>
      </x:c>
      <x:c r="D15" s="25"/>
      <x:c r="E15" s="25"/>
      <x:c r="F15" s="25"/>
      <x:c r="G15" s="25"/>
    </x:row>
    <x:row r="16">
      <x:c r="A16" s="86" t="n">
        <x:v>100800</x:v>
      </x:c>
      <x:c r="B16" s="89" t="n">
        <x:v>0.12</x:v>
      </x:c>
      <x:c r="C16" s="25" t="str">
        <x:v>https://www.irs.gov/newsroom/irs-releases-tax-inflation-adjustments-for-tax-year-2026-including-amendments-from-the-one-big-beautiful-bill</x:v>
      </x:c>
      <x:c r="D16" s="25"/>
      <x:c r="E16" s="25"/>
      <x:c r="F16" s="25"/>
      <x:c r="G16" s="25"/>
    </x:row>
    <x:row r="17">
      <x:c r="A17" s="86" t="n">
        <x:v>211400</x:v>
      </x:c>
      <x:c r="B17" s="89" t="n">
        <x:v>0.22</x:v>
      </x:c>
      <x:c r="C17" s="25" t="str">
        <x:v>https://www.irs.gov/newsroom/irs-releases-tax-inflation-adjustments-for-tax-year-2026-including-amendments-from-the-one-big-beautiful-bill</x:v>
      </x:c>
      <x:c r="D17" s="25"/>
      <x:c r="E17" s="25"/>
      <x:c r="F17" s="25"/>
      <x:c r="G17" s="25"/>
    </x:row>
    <x:row r="18">
      <x:c r="A18" s="86" t="n">
        <x:v>403550</x:v>
      </x:c>
      <x:c r="B18" s="89" t="n">
        <x:v>0.24</x:v>
      </x:c>
      <x:c r="C18" s="25" t="str">
        <x:v>https://www.irs.gov/newsroom/irs-releases-tax-inflation-adjustments-for-tax-year-2026-including-amendments-from-the-one-big-beautiful-bill</x:v>
      </x:c>
      <x:c r="D18" s="25"/>
      <x:c r="E18" s="25"/>
      <x:c r="F18" s="25"/>
      <x:c r="G18" s="25"/>
    </x:row>
    <x:row r="19">
      <x:c r="A19" s="86" t="n">
        <x:v>512450</x:v>
      </x:c>
      <x:c r="B19" s="89" t="n">
        <x:v>0.32</x:v>
      </x:c>
      <x:c r="C19" s="25" t="str">
        <x:v>https://www.irs.gov/newsroom/irs-releases-tax-inflation-adjustments-for-tax-year-2026-including-amendments-from-the-one-big-beautiful-bill</x:v>
      </x:c>
      <x:c r="D19" s="25"/>
      <x:c r="E19" s="25"/>
      <x:c r="F19" s="25"/>
      <x:c r="G19" s="25"/>
    </x:row>
    <x:row r="20">
      <x:c r="A20" s="86" t="n">
        <x:v>768700</x:v>
      </x:c>
      <x:c r="B20" s="89" t="n">
        <x:v>0.35</x:v>
      </x:c>
      <x:c r="C20" s="25" t="str">
        <x:v>https://www.irs.gov/newsroom/irs-releases-tax-inflation-adjustments-for-tax-year-2026-including-amendments-from-the-one-big-beautiful-bill</x:v>
      </x:c>
      <x:c r="D20" s="25"/>
      <x:c r="E20" s="25"/>
      <x:c r="F20" s="25"/>
      <x:c r="G20" s="25"/>
    </x:row>
    <x:row r="21">
      <x:c r="A21" s="86" t="str">
        <x:v>No limit</x:v>
      </x:c>
      <x:c r="B21" s="89" t="n">
        <x:v>0.37</x:v>
      </x:c>
      <x:c r="C21" s="25" t="str">
        <x:v>https://www.irs.gov/newsroom/irs-releases-tax-inflation-adjustments-for-tax-year-2026-including-amendments-from-the-one-big-beautiful-bill</x:v>
      </x:c>
      <x:c r="D21" s="25"/>
      <x:c r="E21" s="25"/>
      <x:c r="F21" s="25"/>
      <x:c r="G21" s="25"/>
    </x:row>
    <x:row r="22">
      <x:c r="A22" s="25"/>
      <x:c r="B22" s="25"/>
      <x:c r="C22" s="25"/>
      <x:c r="D22" s="25"/>
      <x:c r="E22" s="25"/>
      <x:c r="F22" s="25"/>
      <x:c r="G22" s="25"/>
    </x:row>
    <x:row r="23">
      <x:c r="A23" s="25"/>
      <x:c r="B23" s="25"/>
      <x:c r="C23" s="25"/>
      <x:c r="D23" s="25"/>
      <x:c r="E23" s="25"/>
      <x:c r="F23" s="25"/>
      <x:c r="G23" s="25"/>
    </x:row>
    <x:row r="24">
      <x:c r="A24" s="202" t="str">
        <x:v>Source Register</x:v>
      </x:c>
      <x:c r="B24" s="202"/>
      <x:c r="C24" s="202"/>
      <x:c r="D24" s="202"/>
      <x:c r="E24" s="202"/>
      <x:c r="F24" s="202"/>
      <x:c r="G24" s="202"/>
    </x:row>
    <x:row r="25">
      <x:c r="A25" s="201" t="str">
        <x:v>Source</x:v>
      </x:c>
      <x:c r="B25" s="201" t="str">
        <x:v>URL</x:v>
      </x:c>
      <x:c r="C25" s="25"/>
      <x:c r="D25" s="25"/>
      <x:c r="E25" s="25"/>
      <x:c r="F25" s="25"/>
      <x:c r="G25" s="25"/>
    </x:row>
    <x:row r="26">
      <x:c r="A26" s="25" t="str">
        <x:v>IRS 2026 inflation adjustments</x:v>
      </x:c>
      <x:c r="B26" s="25" t="str">
        <x:v>https://www.irs.gov/newsroom/irs-releases-tax-inflation-adjustments-for-tax-year-2026-including-amendments-from-the-one-big-beautiful-bill</x:v>
      </x:c>
      <x:c r="C26" s="25"/>
      <x:c r="D26" s="25"/>
      <x:c r="E26" s="25"/>
      <x:c r="F26" s="25"/>
      <x:c r="G26" s="25"/>
    </x:row>
    <x:row r="27">
      <x:c r="A27" s="25" t="str">
        <x:v>IRS beneficiary RMD guidance</x:v>
      </x:c>
      <x:c r="B27" s="25" t="str">
        <x:v>https://www.irs.gov/retirement-plans/required-minimum-distributions-for-ira-beneficiaries</x:v>
      </x:c>
      <x:c r="C27" s="25"/>
      <x:c r="D27" s="25"/>
      <x:c r="E27" s="25"/>
      <x:c r="F27" s="25"/>
      <x:c r="G27" s="25"/>
    </x:row>
    <x:row r="28">
      <x:c r="A28" s="25" t="str">
        <x:v>CMS 2026 Medicare premiums</x:v>
      </x:c>
      <x:c r="B28" s="25" t="str">
        <x:v>https://www.cms.gov/newsroom/fact-sheets/2026-medicare-parts-b-premiums-deductibles</x:v>
      </x:c>
      <x:c r="C28" s="25"/>
      <x:c r="D28" s="25"/>
      <x:c r="E28" s="25"/>
      <x:c r="F28" s="25"/>
      <x:c r="G28" s="25"/>
    </x:row>
    <x:row r="29">
      <x:c r="A29" s="25" t="str">
        <x:v>HealthCare.gov MAGI</x:v>
      </x:c>
      <x:c r="B29" s="25" t="str">
        <x:v>https://www.healthcare.gov/income-and-household-information/income/</x:v>
      </x:c>
      <x:c r="C29" s="25"/>
      <x:c r="D29" s="25"/>
      <x:c r="E29" s="25"/>
      <x:c r="F29" s="25"/>
      <x:c r="G29" s="25"/>
    </x:row>
    <x:row r="30">
      <x:c r="A30" s="25"/>
      <x:c r="B30" s="25"/>
      <x:c r="C30" s="25"/>
      <x:c r="D30" s="25"/>
      <x:c r="E30" s="25"/>
      <x:c r="F30" s="25"/>
      <x:c r="G30" s="25"/>
    </x:row>
    <x:row r="31">
      <x:c r="A31" s="25"/>
      <x:c r="B31" s="25"/>
      <x:c r="C31" s="25"/>
      <x:c r="D31" s="25"/>
      <x:c r="E31" s="25"/>
      <x:c r="F31" s="25"/>
      <x:c r="G31" s="25"/>
    </x:row>
    <x:row r="32">
      <x:c r="A32" s="25"/>
      <x:c r="B32" s="25"/>
      <x:c r="C32" s="25"/>
      <x:c r="D32" s="25"/>
      <x:c r="E32" s="25"/>
      <x:c r="F32" s="25"/>
      <x:c r="G32" s="25"/>
    </x:row>
    <x:row r="33">
      <x:c r="A33" s="25"/>
      <x:c r="B33" s="25"/>
      <x:c r="C33" s="25"/>
      <x:c r="D33" s="25"/>
      <x:c r="E33" s="25"/>
      <x:c r="F33" s="25"/>
      <x:c r="G33" s="25"/>
    </x:row>
    <x:row r="34">
      <x:c r="A34" s="25"/>
      <x:c r="B34" s="25"/>
      <x:c r="C34" s="25"/>
      <x:c r="D34" s="25"/>
      <x:c r="E34" s="25"/>
      <x:c r="F34" s="25"/>
      <x:c r="G34" s="25"/>
    </x:row>
    <x:row r="35">
      <x:c r="A35" s="25"/>
      <x:c r="B35" s="25"/>
      <x:c r="C35" s="25"/>
      <x:c r="D35" s="25"/>
      <x:c r="E35" s="25"/>
      <x:c r="F35" s="25"/>
      <x:c r="G35" s="25"/>
    </x:row>
  </x:sheetData>
  <x:mergeCells>
    <x:mergeCell ref="A1:G2"/>
    <x:mergeCell ref="A13:G13"/>
    <x:mergeCell ref="A24:G24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5" hidden="0" customWidth="1"/>
  </x:cols>
  <x:sheetData>
    <x:row r="1">
      <x:c r="A1" s="200" t="str">
        <x:v>Advanced Multi-Account RMD Planner</x:v>
      </x:c>
      <x:c r="B1" s="200"/>
      <x:c r="C1" s="200"/>
      <x:c r="D1" s="200"/>
      <x:c r="E1" s="200"/>
      <x:c r="F1" s="200"/>
      <x:c r="G1" s="200"/>
      <x:c r="H1" s="200"/>
    </x:row>
    <x:row r="2">
      <x:c r="A2" s="200"/>
      <x:c r="B2" s="200"/>
      <x:c r="C2" s="200"/>
      <x:c r="D2" s="200"/>
      <x:c r="E2" s="200"/>
      <x:c r="F2" s="200"/>
      <x:c r="G2" s="200"/>
      <x:c r="H2" s="200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201" t="str">
        <x:v>Account</x:v>
      </x:c>
      <x:c r="B4" s="201" t="str">
        <x:v>Required Amount</x:v>
      </x:c>
      <x:c r="C4" s="201" t="str">
        <x:v>Divisor</x:v>
      </x:c>
      <x:c r="D4" s="201" t="str">
        <x:v>Aggregation Group</x:v>
      </x:c>
      <x:c r="E4" s="201" t="str">
        <x:v>Status</x:v>
      </x:c>
      <x:c r="F4" s="201" t="str">
        <x:v>Notes</x:v>
      </x:c>
      <x:c r="G4" s="25"/>
      <x:c r="H4" s="25"/>
    </x:row>
    <x:row r="5">
      <x:c r="A5" s="25" t="str">
        <x:v>H-IRA</x:v>
      </x:c>
      <x:c r="B5" s="86" t="n">
        <x:v>16260.16</x:v>
      </x:c>
      <x:c r="C5" s="205" t="n">
        <x:v>24.6</x:v>
      </x:c>
      <x:c r="D5" s="25" t="str">
        <x:v>owner_ira</x:v>
      </x:c>
      <x:c r="E5" s="25" t="str">
        <x:v>Calculated</x:v>
      </x:c>
      <x:c r="F5" s="25" t="str"/>
      <x:c r="G5" s="25"/>
      <x:c r="H5" s="25"/>
    </x:row>
    <x:row r="6">
      <x:c r="A6" s="25" t="str">
        <x:v>W-IRA</x:v>
      </x:c>
      <x:c r="B6" s="86" t="n">
        <x:v>0</x:v>
      </x:c>
      <x:c r="C6" s="205" t="str"/>
      <x:c r="D6" s="25" t="str">
        <x:v>owner_ira</x:v>
      </x:c>
      <x:c r="E6" s="25" t="str">
        <x:v>Calculated</x:v>
      </x:c>
      <x:c r="F6" s="25" t="str"/>
      <x:c r="G6" s="25"/>
      <x:c r="H6" s="25"/>
    </x:row>
    <x:row r="7">
      <x:c r="A7" s="25"/>
      <x:c r="B7" s="25"/>
      <x:c r="C7" s="25"/>
      <x:c r="D7" s="25"/>
      <x:c r="E7" s="25"/>
      <x:c r="F7" s="25"/>
      <x:c r="G7" s="25"/>
      <x:c r="H7" s="25"/>
    </x:row>
    <x:row r="8">
      <x:c r="A8" s="25"/>
      <x:c r="B8" s="25"/>
      <x:c r="C8" s="25"/>
      <x:c r="D8" s="25"/>
      <x:c r="E8" s="25"/>
      <x:c r="F8" s="25"/>
      <x:c r="G8" s="25"/>
      <x:c r="H8" s="25"/>
    </x:row>
    <x:row r="9">
      <x:c r="A9" s="201" t="str">
        <x:v>Summary</x:v>
      </x:c>
      <x:c r="B9" s="201" t="str">
        <x:v>Value</x:v>
      </x:c>
      <x:c r="C9" s="201" t="str">
        <x:v>Units</x:v>
      </x:c>
      <x:c r="D9" s="201" t="str">
        <x:v>Review</x:v>
      </x:c>
      <x:c r="E9" s="25"/>
      <x:c r="F9" s="25"/>
      <x:c r="G9" s="25"/>
      <x:c r="H9" s="25"/>
    </x:row>
    <x:row r="10">
      <x:c r="A10" s="25" t="str">
        <x:v>Total required</x:v>
      </x:c>
      <x:c r="B10" s="86" t="n">
        <x:v>16260.16</x:v>
      </x:c>
      <x:c r="C10" s="25" t="str">
        <x:v>$</x:v>
      </x:c>
      <x:c r="D10" s="25" t="str">
        <x:v>Calculated</x:v>
      </x:c>
      <x:c r="E10" s="25"/>
      <x:c r="F10" s="25"/>
      <x:c r="G10" s="25"/>
      <x:c r="H10" s="25"/>
    </x:row>
    <x:row r="11">
      <x:c r="A11" s="25" t="str">
        <x:v>QCD applied</x:v>
      </x:c>
      <x:c r="B11" s="86" t="n">
        <x:v>10000</x:v>
      </x:c>
      <x:c r="C11" s="25" t="str">
        <x:v>$</x:v>
      </x:c>
      <x:c r="D11" s="25" t="str">
        <x:v>Calculated</x:v>
      </x:c>
      <x:c r="E11" s="25"/>
      <x:c r="F11" s="25"/>
      <x:c r="G11" s="25"/>
      <x:c r="H11" s="25"/>
    </x:row>
    <x:row r="12">
      <x:c r="A12" s="25" t="str">
        <x:v>Taxable RMD</x:v>
      </x:c>
      <x:c r="B12" s="86" t="n">
        <x:v>6260.16</x:v>
      </x:c>
      <x:c r="C12" s="25" t="str">
        <x:v>$</x:v>
      </x:c>
      <x:c r="D12" s="25" t="str">
        <x:v>Calculated</x:v>
      </x:c>
      <x:c r="E12" s="25"/>
      <x:c r="F12" s="25"/>
      <x:c r="G12" s="25"/>
      <x:c r="H12" s="25"/>
    </x:row>
    <x:row r="13">
      <x:c r="A13" s="25" t="str">
        <x:v>Compliance warnings</x:v>
      </x:c>
      <x:c r="B13" s="25" t="n">
        <x:v>0</x:v>
      </x:c>
      <x:c r="C13" s="25" t="str">
        <x:v>count</x:v>
      </x:c>
      <x:c r="D13" s="25" t="str">
        <x:v>Review if nonzero</x:v>
      </x:c>
      <x:c r="E13" s="25"/>
      <x:c r="F13" s="25"/>
      <x:c r="G13" s="25"/>
      <x:c r="H13" s="25"/>
    </x:row>
    <x:row r="14">
      <x:c r="A14" s="25" t="str">
        <x:v>Inherited IRA method</x:v>
      </x:c>
      <x:c r="B14" s="25" t="str">
        <x:v>10-year / life expectancy</x:v>
      </x:c>
      <x:c r="C14" s="25" t="str">
        <x:v>method</x:v>
      </x:c>
      <x:c r="D14" s="206" t="str">
        <x:v>Verify beneficiary facts</x:v>
      </x:c>
      <x:c r="E14" s="25"/>
      <x:c r="F14" s="25"/>
      <x:c r="G14" s="25"/>
      <x:c r="H14" s="25"/>
    </x:row>
    <x:row r="15">
      <x:c r="A15" s="25"/>
      <x:c r="B15" s="25"/>
      <x:c r="C15" s="25"/>
      <x:c r="D15" s="25"/>
      <x:c r="E15" s="25"/>
      <x:c r="F15" s="25"/>
      <x:c r="G15" s="25"/>
      <x:c r="H15" s="25"/>
    </x:row>
    <x:row r="16">
      <x:c r="A16" s="25"/>
      <x:c r="B16" s="25"/>
      <x:c r="C16" s="25"/>
      <x:c r="D16" s="25"/>
      <x:c r="E16" s="25"/>
      <x:c r="F16" s="25"/>
      <x:c r="G16" s="25"/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</x:sheetData>
  <x:mergeCells>
    <x:mergeCell ref="A1:H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60" hidden="0" customWidth="1"/>
  </x:cols>
  <x:sheetData>
    <x:row r="1">
      <x:c r="A1" s="200" t="str">
        <x:v>Charitable Planning Strategy Comparison</x:v>
      </x:c>
      <x:c r="B1" s="200"/>
      <x:c r="C1" s="200"/>
      <x:c r="D1" s="200"/>
      <x:c r="E1" s="200"/>
      <x:c r="F1" s="200"/>
      <x:c r="G1" s="200"/>
      <x:c r="H1" s="200"/>
      <x:c r="I1" s="200"/>
      <x:c r="J1" s="200"/>
    </x:row>
    <x:row r="2">
      <x:c r="A2" s="200"/>
      <x:c r="B2" s="200"/>
      <x:c r="C2" s="200"/>
      <x:c r="D2" s="200"/>
      <x:c r="E2" s="200"/>
      <x:c r="F2" s="200"/>
      <x:c r="G2" s="200"/>
      <x:c r="H2" s="200"/>
      <x:c r="I2" s="200"/>
      <x:c r="J2" s="200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>
      <x:c r="A4" s="201" t="str">
        <x:v>Rank</x:v>
      </x:c>
      <x:c r="B4" s="201" t="str">
        <x:v>Strategy</x:v>
      </x:c>
      <x:c r="C4" s="201" t="str">
        <x:v>Annual Gift</x:v>
      </x:c>
      <x:c r="D4" s="201" t="str">
        <x:v>QCD</x:v>
      </x:c>
      <x:c r="E4" s="201" t="str">
        <x:v>Cash Gift</x:v>
      </x:c>
      <x:c r="F4" s="201" t="str">
        <x:v>Appreciated Securities</x:v>
      </x:c>
      <x:c r="G4" s="201" t="str">
        <x:v>DAF Contribution</x:v>
      </x:c>
      <x:c r="H4" s="201" t="str">
        <x:v>AGI Reduction</x:v>
      </x:c>
      <x:c r="I4" s="201" t="str">
        <x:v>Net Tax Benefit</x:v>
      </x:c>
      <x:c r="J4" s="201" t="str">
        <x:v>Notes</x:v>
      </x:c>
    </x:row>
    <x:row r="5">
      <x:c r="A5" s="25" t="n">
        <x:v>1</x:v>
      </x:c>
      <x:c r="B5" s="25" t="str">
        <x:v>Qualified charitable distribution</x:v>
      </x:c>
      <x:c r="C5" s="86" t="n">
        <x:v>10000</x:v>
      </x:c>
      <x:c r="D5" s="86" t="n">
        <x:v>10000</x:v>
      </x:c>
      <x:c r="E5" s="86" t="n">
        <x:v>0</x:v>
      </x:c>
      <x:c r="F5" s="86" t="n">
        <x:v>0</x:v>
      </x:c>
      <x:c r="G5" s="86" t="n">
        <x:v>0</x:v>
      </x:c>
      <x:c r="H5" s="86" t="n">
        <x:v>10000</x:v>
      </x:c>
      <x:c r="I5" s="86" t="n">
        <x:v>2200</x:v>
      </x:c>
      <x:c r="J5" s="25" t="str">
        <x:v>QCD is modeled as reducing taxable IRA distribution rather than as an itemized deduction.</x:v>
      </x:c>
    </x:row>
    <x:row r="6">
      <x:c r="A6" s="25" t="n">
        <x:v>2</x:v>
      </x:c>
      <x:c r="B6" s="25" t="str">
        <x:v>Annual cash gift</x:v>
      </x:c>
      <x:c r="C6" s="86" t="n">
        <x:v>10000</x:v>
      </x:c>
      <x:c r="D6" s="86" t="n">
        <x:v>0</x:v>
      </x:c>
      <x:c r="E6" s="86" t="n">
        <x:v>10000</x:v>
      </x:c>
      <x:c r="F6" s="86" t="n">
        <x:v>0</x:v>
      </x:c>
      <x:c r="G6" s="86" t="n">
        <x:v>0</x:v>
      </x:c>
      <x:c r="H6" s="86" t="n">
        <x:v>0</x:v>
      </x:c>
      <x:c r="I6" s="86" t="n">
        <x:v>2200</x:v>
      </x:c>
      <x:c r="J6" s="25" t="str">
        <x:v>Deduction value depends on itemizing and applicable percentage limitations.</x:v>
      </x:c>
    </x:row>
    <x:row r="7">
      <x:c r="A7" s="25" t="n">
        <x:v>3</x:v>
      </x:c>
      <x:c r="B7" s="25" t="str">
        <x:v>Donor-advised fund bunching</x:v>
      </x:c>
      <x:c r="C7" s="86" t="n">
        <x:v>10000</x:v>
      </x:c>
      <x:c r="D7" s="86" t="n">
        <x:v>0</x:v>
      </x:c>
      <x:c r="E7" s="86" t="n">
        <x:v>0</x:v>
      </x:c>
      <x:c r="F7" s="86" t="n">
        <x:v>0</x:v>
      </x:c>
      <x:c r="G7" s="86" t="n">
        <x:v>30000</x:v>
      </x:c>
      <x:c r="H7" s="86" t="n">
        <x:v>0</x:v>
      </x:c>
      <x:c r="I7" s="86" t="n">
        <x:v>2200</x:v>
      </x:c>
      <x:c r="J7" s="25" t="str">
        <x:v>Model assumes 3 years of gifts contributed in one itemizing year.</x:v>
      </x:c>
    </x:row>
    <x:row r="8">
      <x:c r="A8" s="25" t="n">
        <x:v>4</x:v>
      </x:c>
      <x:c r="B8" s="25" t="str">
        <x:v>Appreciated securities</x:v>
      </x:c>
      <x:c r="C8" s="86" t="n">
        <x:v>10000</x:v>
      </x:c>
      <x:c r="D8" s="86" t="n">
        <x:v>0</x:v>
      </x:c>
      <x:c r="E8" s="86" t="n">
        <x:v>10000</x:v>
      </x:c>
      <x:c r="F8" s="86" t="n">
        <x:v>0</x:v>
      </x:c>
      <x:c r="G8" s="86" t="n">
        <x:v>0</x:v>
      </x:c>
      <x:c r="H8" s="86" t="n">
        <x:v>0</x:v>
      </x:c>
      <x:c r="I8" s="86" t="n">
        <x:v>0</x:v>
      </x:c>
      <x:c r="J8" s="25" t="str">
        <x:v>Fair-market-value deduction and AGI limitations require professional verification.</x:v>
      </x:c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</x:sheetData>
  <x:mergeCells>
    <x:mergeCell ref="A1:J2"/>
  </x:mergeCells>
  <x:conditionalFormatting sqref="I5:I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{94231F39-7466-90DA-D836-13455B1AF406}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4231F39-7466-90DA-D836-13455B1AF406}">
            <x14:dataBar gradient="1">
              <x14:cfvo type="min"/>
              <x14:cfvo type="max"/>
              <x14:fillColor rgb="FFA02B93"/>
            </x14:dataBar>
          </x14:cfRule>
          <xm:sqref>I5:I8</xm:sqref>
        </x14:conditionalFormatting>
      </x14:conditionalFormattings>
    </x:ext>
  </x:extLst>
</x:worksheet>
</file>

<file path=xl/worksheets/sheet3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200" t="str">
        <x:v>Estate &amp; Legacy Optimizer</x:v>
      </x:c>
      <x:c r="B1" s="200"/>
      <x:c r="C1" s="200"/>
      <x:c r="D1" s="200"/>
      <x:c r="E1" s="200"/>
      <x:c r="F1" s="200"/>
      <x:c r="G1" s="200"/>
      <x:c r="H1" s="200"/>
    </x:row>
    <x:row r="2">
      <x:c r="A2" s="200"/>
      <x:c r="B2" s="200"/>
      <x:c r="C2" s="200"/>
      <x:c r="D2" s="200"/>
      <x:c r="E2" s="200"/>
      <x:c r="F2" s="200"/>
      <x:c r="G2" s="200"/>
      <x:c r="H2" s="200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201" t="str">
        <x:v>Metric</x:v>
      </x:c>
      <x:c r="B4" s="201" t="str">
        <x:v>Value</x:v>
      </x:c>
      <x:c r="C4" s="25"/>
      <x:c r="D4" s="25"/>
      <x:c r="E4" s="25"/>
      <x:c r="F4" s="25"/>
      <x:c r="G4" s="25"/>
      <x:c r="H4" s="25"/>
    </x:row>
    <x:row r="5">
      <x:c r="A5" s="25" t="str">
        <x:v>Gross estate</x:v>
      </x:c>
      <x:c r="B5" s="86" t="n">
        <x:v>1900000</x:v>
      </x:c>
      <x:c r="C5" s="25"/>
      <x:c r="D5" s="25"/>
      <x:c r="E5" s="25"/>
      <x:c r="F5" s="25"/>
      <x:c r="G5" s="25"/>
      <x:c r="H5" s="25"/>
    </x:row>
    <x:row r="6">
      <x:c r="A6" s="25" t="str">
        <x:v>Estimated estate tax</x:v>
      </x:c>
      <x:c r="B6" s="86" t="n">
        <x:v>0</x:v>
      </x:c>
      <x:c r="C6" s="25"/>
      <x:c r="D6" s="25"/>
      <x:c r="E6" s="25"/>
      <x:c r="F6" s="25"/>
      <x:c r="G6" s="25"/>
      <x:c r="H6" s="25"/>
    </x:row>
    <x:row r="7">
      <x:c r="A7" s="25" t="str">
        <x:v>Beneficiary income-tax reserve</x:v>
      </x:c>
      <x:c r="B7" s="86" t="n">
        <x:v>252000</x:v>
      </x:c>
      <x:c r="C7" s="25"/>
      <x:c r="D7" s="25"/>
      <x:c r="E7" s="25"/>
      <x:c r="F7" s="25"/>
      <x:c r="G7" s="25"/>
      <x:c r="H7" s="25"/>
    </x:row>
    <x:row r="8">
      <x:c r="A8" s="25" t="str">
        <x:v>Charitable bequest</x:v>
      </x:c>
      <x:c r="B8" s="86" t="n">
        <x:v>0</x:v>
      </x:c>
      <x:c r="C8" s="25"/>
      <x:c r="D8" s="25"/>
      <x:c r="E8" s="25"/>
      <x:c r="F8" s="25"/>
      <x:c r="G8" s="25"/>
      <x:c r="H8" s="25"/>
    </x:row>
    <x:row r="9">
      <x:c r="A9" s="25" t="str">
        <x:v>Liquidity shortfall</x:v>
      </x:c>
      <x:c r="B9" s="86" t="n">
        <x:v>0</x:v>
      </x:c>
      <x:c r="C9" s="25"/>
      <x:c r="D9" s="25"/>
      <x:c r="E9" s="25"/>
      <x:c r="F9" s="25"/>
      <x:c r="G9" s="25"/>
      <x:c r="H9" s="25"/>
    </x:row>
    <x:row r="10">
      <x:c r="A10" s="25" t="str">
        <x:v>Net family legacy</x:v>
      </x:c>
      <x:c r="B10" s="86" t="n">
        <x:v>1648000</x:v>
      </x:c>
      <x:c r="C10" s="25"/>
      <x:c r="D10" s="25"/>
      <x:c r="E10" s="25"/>
      <x:c r="F10" s="25"/>
      <x:c r="G10" s="25"/>
      <x:c r="H10" s="25"/>
    </x:row>
    <x:row r="11">
      <x:c r="A11" s="25" t="str">
        <x:v>Scenario</x:v>
      </x:c>
      <x:c r="B11" s="25" t="str">
        <x:v>Integrated legacy plan</x:v>
      </x:c>
      <x:c r="C11" s="25"/>
      <x:c r="D11" s="25"/>
      <x:c r="E11" s="25"/>
      <x:c r="F11" s="25"/>
      <x:c r="G11" s="25"/>
      <x:c r="H11" s="25"/>
    </x:row>
    <x:row r="12">
      <x:c r="A12" s="25"/>
      <x:c r="B12" s="25"/>
      <x:c r="C12" s="25"/>
      <x:c r="D12" s="25"/>
      <x:c r="E12" s="25"/>
      <x:c r="F12" s="25"/>
      <x:c r="G12" s="25"/>
      <x:c r="H12" s="25"/>
    </x:row>
    <x:row r="13">
      <x:c r="A13" s="202" t="str">
        <x:v>Beneficiary Allocation</x:v>
      </x:c>
      <x:c r="B13" s="202"/>
      <x:c r="C13" s="202"/>
      <x:c r="D13" s="202"/>
      <x:c r="E13" s="202"/>
      <x:c r="F13" s="202"/>
      <x:c r="G13" s="202"/>
      <x:c r="H13" s="202"/>
    </x:row>
    <x:row r="14">
      <x:c r="A14" s="201" t="str">
        <x:v>Beneficiary</x:v>
      </x:c>
      <x:c r="B14" s="201" t="str">
        <x:v>Share</x:v>
      </x:c>
      <x:c r="C14" s="201" t="str">
        <x:v>Gross Allocation</x:v>
      </x:c>
      <x:c r="D14" s="201" t="str">
        <x:v>Traditional Tax Reserve</x:v>
      </x:c>
      <x:c r="E14" s="201" t="str">
        <x:v>Net Estimate</x:v>
      </x:c>
      <x:c r="F14" s="25"/>
      <x:c r="G14" s="25"/>
      <x:c r="H14" s="25"/>
    </x:row>
    <x:row r="15">
      <x:c r="A15" s="25" t="str">
        <x:v>Child A</x:v>
      </x:c>
      <x:c r="B15" s="89" t="n">
        <x:v>0.5</x:v>
      </x:c>
      <x:c r="C15" s="86" t="n">
        <x:v>950000</x:v>
      </x:c>
      <x:c r="D15" s="86" t="n">
        <x:v>108000</x:v>
      </x:c>
      <x:c r="E15" s="86" t="n">
        <x:v>842000</x:v>
      </x:c>
      <x:c r="F15" s="25"/>
      <x:c r="G15" s="25"/>
      <x:c r="H15" s="25"/>
    </x:row>
    <x:row r="16">
      <x:c r="A16" s="25" t="str">
        <x:v>Child B</x:v>
      </x:c>
      <x:c r="B16" s="89" t="n">
        <x:v>0.5</x:v>
      </x:c>
      <x:c r="C16" s="86" t="n">
        <x:v>950000</x:v>
      </x:c>
      <x:c r="D16" s="86" t="n">
        <x:v>144000</x:v>
      </x:c>
      <x:c r="E16" s="86" t="n">
        <x:v>806000</x:v>
      </x:c>
      <x:c r="F16" s="25"/>
      <x:c r="G16" s="25"/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0">
      <x:c r="A20" s="25"/>
      <x:c r="B20" s="25"/>
      <x:c r="C20" s="25"/>
      <x:c r="D20" s="25"/>
      <x:c r="E20" s="25"/>
      <x:c r="F20" s="25"/>
      <x:c r="G20" s="25"/>
      <x:c r="H20" s="25"/>
    </x:row>
  </x:sheetData>
  <x:mergeCells>
    <x:mergeCell ref="A1:H2"/>
    <x:mergeCell ref="A13:H13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4" max="4" width="30" hidden="0" customWidth="1"/>
    <x:col min="5" max="5" width="22" hidden="0" customWidth="1"/>
    <x:col min="6" max="6" width="22" hidden="0" customWidth="1"/>
    <x:col min="7" max="7" width="60" hidden="0" customWidth="1"/>
  </x:cols>
  <x:sheetData>
    <x:row r="1">
      <x:c r="A1" s="200" t="str">
        <x:v>Integrated ACA, Medicare &amp; Long-Term Care Planning</x:v>
      </x:c>
      <x:c r="B1" s="200"/>
      <x:c r="C1" s="200"/>
      <x:c r="D1" s="200"/>
      <x:c r="E1" s="200"/>
      <x:c r="F1" s="200"/>
      <x:c r="G1" s="200"/>
    </x:row>
    <x:row r="2">
      <x:c r="A2" s="200"/>
      <x:c r="B2" s="200"/>
      <x:c r="C2" s="200"/>
      <x:c r="D2" s="200"/>
      <x:c r="E2" s="200"/>
      <x:c r="F2" s="200"/>
      <x:c r="G2" s="200"/>
    </x:row>
    <x:row r="3">
      <x:c r="A3" s="25"/>
      <x:c r="B3" s="25"/>
      <x:c r="C3" s="25"/>
      <x:c r="D3" s="25"/>
      <x:c r="E3" s="25"/>
      <x:c r="F3" s="25"/>
      <x:c r="G3" s="25"/>
    </x:row>
    <x:row r="4">
      <x:c r="A4" s="201" t="str">
        <x:v>Metric</x:v>
      </x:c>
      <x:c r="B4" s="201" t="str">
        <x:v>Amount</x:v>
      </x:c>
      <x:c r="C4" s="25"/>
      <x:c r="D4" s="202" t="str">
        <x:v>Important Configuration Controls</x:v>
      </x:c>
      <x:c r="E4" s="202"/>
      <x:c r="F4" s="202"/>
      <x:c r="G4" s="202"/>
    </x:row>
    <x:row r="5">
      <x:c r="A5" s="25" t="str">
        <x:v>ACA MAGI</x:v>
      </x:c>
      <x:c r="B5" s="86" t="n">
        <x:v>80000</x:v>
      </x:c>
      <x:c r="C5" s="25"/>
      <x:c r="D5" s="201" t="str">
        <x:v>Control</x:v>
      </x:c>
      <x:c r="E5" s="201" t="str">
        <x:v>Status</x:v>
      </x:c>
      <x:c r="F5" s="201" t="str">
        <x:v>User Action</x:v>
      </x:c>
      <x:c r="G5" s="201" t="str">
        <x:v>Source</x:v>
      </x:c>
    </x:row>
    <x:row r="6">
      <x:c r="A6" s="25" t="str">
        <x:v>Estimated PTC</x:v>
      </x:c>
      <x:c r="B6" s="86" t="n">
        <x:v>10032</x:v>
      </x:c>
      <x:c r="C6" s="25"/>
      <x:c r="D6" s="25" t="str">
        <x:v>Local SLCSP premium</x:v>
      </x:c>
      <x:c r="E6" s="206" t="str">
        <x:v>User input</x:v>
      </x:c>
      <x:c r="F6" s="25" t="str">
        <x:v>Update by county/coverage year</x:v>
      </x:c>
      <x:c r="G6" s="25" t="str">
        <x:v>https://www.healthcare.gov/income-and-household-information/income/</x:v>
      </x:c>
    </x:row>
    <x:row r="7">
      <x:c r="A7" s="25" t="str">
        <x:v>Net ACA premium</x:v>
      </x:c>
      <x:c r="B7" s="86" t="n">
        <x:v>5968</x:v>
      </x:c>
      <x:c r="C7" s="25"/>
      <x:c r="D7" s="25" t="str">
        <x:v>ACA contribution curve</x:v>
      </x:c>
      <x:c r="E7" s="206" t="str">
        <x:v>Planning estimate</x:v>
      </x:c>
      <x:c r="F7" s="25" t="str">
        <x:v>Verify applicable-year law</x:v>
      </x:c>
      <x:c r="G7" s="25" t="str">
        <x:v>https://www.healthcare.gov/income-and-household-information/income/</x:v>
      </x:c>
    </x:row>
    <x:row r="8">
      <x:c r="A8" s="25" t="str">
        <x:v>Medicare premium</x:v>
      </x:c>
      <x:c r="B8" s="86" t="n">
        <x:v>2902.6800000000003</x:v>
      </x:c>
      <x:c r="C8" s="25"/>
      <x:c r="D8" s="25" t="str">
        <x:v>Part B premium</x:v>
      </x:c>
      <x:c r="E8" s="206" t="str">
        <x:v>Configured</x:v>
      </x:c>
      <x:c r="F8" s="25" t="str">
        <x:v>Update annually</x:v>
      </x:c>
      <x:c r="G8" s="25" t="str">
        <x:v>https://www.cms.gov/newsroom/fact-sheets/2026-medicare-parts-b-premiums-deductibles</x:v>
      </x:c>
    </x:row>
    <x:row r="9">
      <x:c r="A9" s="25" t="str">
        <x:v>IRMAA surcharge</x:v>
      </x:c>
      <x:c r="B9" s="86" t="n">
        <x:v>0</x:v>
      </x:c>
      <x:c r="C9" s="25"/>
      <x:c r="D9" s="25" t="str">
        <x:v>Part D base premium</x:v>
      </x:c>
      <x:c r="E9" s="206" t="str">
        <x:v>Configured</x:v>
      </x:c>
      <x:c r="F9" s="25" t="str">
        <x:v>Update annually</x:v>
      </x:c>
      <x:c r="G9" s="25" t="str">
        <x:v>https://www.cms.gov/newsroom/fact-sheets/2026-medicare-parts-b-premiums-deductibles</x:v>
      </x:c>
    </x:row>
    <x:row r="10">
      <x:c r="A10" s="25" t="str">
        <x:v>Long-term care cost</x:v>
      </x:c>
      <x:c r="B10" s="86" t="n">
        <x:v>0</x:v>
      </x:c>
      <x:c r="C10" s="25"/>
      <x:c r="D10" s="25" t="str">
        <x:v>Long-term care inflation</x:v>
      </x:c>
      <x:c r="E10" s="206" t="str">
        <x:v>User assumption</x:v>
      </x:c>
      <x:c r="F10" s="25" t="str">
        <x:v>Review periodically</x:v>
      </x:c>
      <x:c r="G10" s="25" t="str">
        <x:v>Planning assumption</x:v>
      </x:c>
    </x:row>
    <x:row r="11">
      <x:c r="A11" s="25" t="str">
        <x:v>Total healthcare cost</x:v>
      </x:c>
      <x:c r="B11" s="86" t="n">
        <x:v>8870.68</x:v>
      </x:c>
      <x:c r="C11" s="25"/>
      <x:c r="D11" s="25"/>
      <x:c r="E11" s="25"/>
      <x:c r="F11" s="25"/>
      <x:c r="G11" s="25"/>
    </x:row>
    <x:row r="12">
      <x:c r="A12" s="25" t="str">
        <x:v>Primary age</x:v>
      </x:c>
      <x:c r="B12" s="25" t="n">
        <x:v>68</x:v>
      </x:c>
      <x:c r="C12" s="25"/>
      <x:c r="D12" s="25"/>
      <x:c r="E12" s="25"/>
      <x:c r="F12" s="25"/>
      <x:c r="G12" s="25"/>
    </x:row>
    <x:row r="13">
      <x:c r="A13" s="25" t="str">
        <x:v>Spouse age</x:v>
      </x:c>
      <x:c r="B13" s="25" t="n">
        <x:v>62</x:v>
      </x:c>
      <x:c r="C13" s="25"/>
      <x:c r="D13" s="25"/>
      <x:c r="E13" s="25"/>
      <x:c r="F13" s="25"/>
      <x:c r="G13" s="25"/>
    </x:row>
    <x:row r="14">
      <x:c r="A14" s="25" t="str">
        <x:v>Year</x:v>
      </x:c>
      <x:c r="B14" s="25" t="n">
        <x:v>2026</x:v>
      </x:c>
      <x:c r="C14" s="25"/>
      <x:c r="D14" s="25"/>
      <x:c r="E14" s="25"/>
      <x:c r="F14" s="25"/>
      <x:c r="G14" s="25"/>
    </x:row>
    <x:row r="15">
      <x:c r="A15" s="25"/>
      <x:c r="B15" s="25"/>
      <x:c r="C15" s="25"/>
      <x:c r="D15" s="25"/>
      <x:c r="E15" s="25"/>
      <x:c r="F15" s="25"/>
      <x:c r="G15" s="25"/>
    </x:row>
  </x:sheetData>
  <x:mergeCells>
    <x:mergeCell ref="A1:G2"/>
    <x:mergeCell ref="D4:G4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200" t="str">
        <x:v>Milestone 10 Advanced Scenario Comparison</x:v>
      </x:c>
      <x:c r="B1" s="200"/>
      <x:c r="C1" s="200"/>
      <x:c r="D1" s="200"/>
      <x:c r="E1" s="200"/>
      <x:c r="F1" s="200"/>
      <x:c r="G1" s="200"/>
      <x:c r="H1" s="200"/>
      <x:c r="I1" s="200"/>
      <x:c r="J1" s="200"/>
      <x:c r="K1" s="200"/>
    </x:row>
    <x:row r="2">
      <x:c r="A2" s="200"/>
      <x:c r="B2" s="200"/>
      <x:c r="C2" s="200"/>
      <x:c r="D2" s="200"/>
      <x:c r="E2" s="200"/>
      <x:c r="F2" s="200"/>
      <x:c r="G2" s="200"/>
      <x:c r="H2" s="200"/>
      <x:c r="I2" s="200"/>
      <x:c r="J2" s="200"/>
      <x:c r="K2" s="200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</x:row>
    <x:row r="4">
      <x:c r="A4" s="201" t="str">
        <x:v>Rank</x:v>
      </x:c>
      <x:c r="B4" s="201" t="str">
        <x:v>Scenario</x:v>
      </x:c>
      <x:c r="C4" s="201" t="str">
        <x:v>Ending Portfolio</x:v>
      </x:c>
      <x:c r="D4" s="201" t="str">
        <x:v>Lifetime Tax</x:v>
      </x:c>
      <x:c r="E4" s="201" t="str">
        <x:v>Healthcare Cost</x:v>
      </x:c>
      <x:c r="F4" s="201" t="str">
        <x:v>Net Legacy</x:v>
      </x:c>
      <x:c r="G4" s="201" t="str">
        <x:v>Charitable Value</x:v>
      </x:c>
      <x:c r="H4" s="201" t="str">
        <x:v>Shortfall</x:v>
      </x:c>
      <x:c r="I4" s="201" t="str">
        <x:v>Success Probability</x:v>
      </x:c>
      <x:c r="J4" s="201" t="str">
        <x:v>Integrated Score</x:v>
      </x:c>
      <x:c r="K4" s="201" t="str">
        <x:v>Recommendation</x:v>
      </x:c>
    </x:row>
    <x:row r="5">
      <x:c r="A5" s="25" t="n">
        <x:v>1</x:v>
      </x:c>
      <x:c r="B5" s="25" t="str">
        <x:v>Balanced</x:v>
      </x:c>
      <x:c r="C5" s="86" t="n">
        <x:v>1800000</x:v>
      </x:c>
      <x:c r="D5" s="86" t="n">
        <x:v>300000</x:v>
      </x:c>
      <x:c r="E5" s="86" t="n">
        <x:v>8870.68</x:v>
      </x:c>
      <x:c r="F5" s="86" t="n">
        <x:v>1648000</x:v>
      </x:c>
      <x:c r="G5" s="86" t="n">
        <x:v>10000</x:v>
      </x:c>
      <x:c r="H5" s="86" t="n">
        <x:v>0</x:v>
      </x:c>
      <x:c r="I5" s="89" t="n">
        <x:v>0.94</x:v>
      </x:c>
      <x:c r="J5" s="86" t="n">
        <x:v>2291729.32</x:v>
      </x:c>
      <x:c r="K5" s="25" t="str">
        <x:v>Recommended</x:v>
      </x:c>
    </x:row>
    <x:row r="6">
      <x:c r="A6" s="25" t="n">
        <x:v>2</x:v>
      </x:c>
      <x:c r="B6" s="25" t="str">
        <x:v>Low Tax</x:v>
      </x:c>
      <x:c r="C6" s="86" t="n">
        <x:v>1700000</x:v>
      </x:c>
      <x:c r="D6" s="86" t="n">
        <x:v>250000</x:v>
      </x:c>
      <x:c r="E6" s="86" t="n">
        <x:v>8870.68</x:v>
      </x:c>
      <x:c r="F6" s="86" t="n">
        <x:v>1600000</x:v>
      </x:c>
      <x:c r="G6" s="86" t="n">
        <x:v>10000</x:v>
      </x:c>
      <x:c r="H6" s="86" t="n">
        <x:v>0</x:v>
      </x:c>
      <x:c r="I6" s="89" t="n">
        <x:v>0.92</x:v>
      </x:c>
      <x:c r="J6" s="86" t="n">
        <x:v>2222129.32</x:v>
      </x:c>
      <x:c r="K6" s="25" t="str">
        <x:v>Alternative</x:v>
      </x:c>
    </x:row>
    <x:row r="7">
      <x:c r="A7" s="25"/>
      <x:c r="B7" s="25"/>
      <x:c r="C7" s="25"/>
      <x:c r="D7" s="25"/>
      <x:c r="E7" s="25"/>
      <x:c r="F7" s="25"/>
      <x:c r="G7" s="25"/>
      <x:c r="H7" s="25"/>
      <x:c r="I7" s="25"/>
      <x:c r="J7" s="25"/>
      <x:c r="K7" s="25"/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25"/>
      <x:c r="K8" s="25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</x:row>
    <x:row r="10">
      <x:c r="A10" s="202" t="str">
        <x:v>Recommendation Explanation</x:v>
      </x:c>
      <x:c r="B10" s="202"/>
      <x:c r="C10" s="202"/>
      <x:c r="D10" s="202"/>
      <x:c r="E10" s="202"/>
      <x:c r="F10" s="202"/>
      <x:c r="G10" s="202"/>
      <x:c r="H10" s="202"/>
      <x:c r="I10" s="202"/>
      <x:c r="J10" s="202"/>
      <x:c r="K10" s="202"/>
    </x:row>
    <x:row r="11">
      <x:c r="A11" s="25" t="str">
        <x:v>Highest integrated score after wealth, tax, healthcare, legacy, charitable, shortfall, and success factors.</x:v>
      </x:c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</x:row>
  </x:sheetData>
  <x:mergeCells>
    <x:mergeCell ref="A1:K2"/>
    <x:mergeCell ref="A10:K10"/>
    <x:mergeCell ref="A11:K13"/>
  </x:mergeCells>
  <x:conditionalFormatting sqref="K5:K6">
    <x:cfRule type="expression" dxfId="21" priority="1">
      <x:formula>K5="Recommended"</x:formula>
    </x:cfRule>
  </x:conditionalFormatting>
  <x:pageMargins left="0.7" right="0.7" top="0.75" bottom="0.75" header="0.3" footer="0.3"/>
  <x:drawing xmlns:r="http://schemas.openxmlformats.org/officeDocument/2006/relationships" r:id="R78a0446fc0f941a8"/>
</x:worksheet>
</file>